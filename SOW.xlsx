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25"/>
  <workbookPr showInkAnnotation="0" autoCompressPictures="0"/>
  <mc:AlternateContent xmlns:mc="http://schemas.openxmlformats.org/markup-compatibility/2006">
    <mc:Choice Requires="x15">
      <x15ac:absPath xmlns:x15ac="http://schemas.microsoft.com/office/spreadsheetml/2010/11/ac" url="/Users/austin/Downloads/"/>
    </mc:Choice>
  </mc:AlternateContent>
  <xr:revisionPtr revIDLastSave="0" documentId="8_{CED81120-24F5-4E40-BC0B-F9B4976E3AC8}" xr6:coauthVersionLast="47" xr6:coauthVersionMax="47" xr10:uidLastSave="{00000000-0000-0000-0000-000000000000}"/>
  <bookViews>
    <workbookView xWindow="820" yWindow="740" windowWidth="28580" windowHeight="16740" tabRatio="500" xr2:uid="{00000000-000D-0000-FFFF-FFFF00000000}"/>
  </bookViews>
  <sheets>
    <sheet name="Tsunamis" sheetId="10" r:id="rId1"/>
    <sheet name="-Disclaimer-" sheetId="2" r:id="rId2"/>
  </sheets>
  <definedNames>
    <definedName name="_xlnm.Print_Area" localSheetId="0">Tsunamis!$B$1:$I$80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24" i="10" l="1"/>
  <c r="H9" i="10"/>
  <c r="F8" i="10"/>
  <c r="G8" i="10"/>
  <c r="H20" i="10"/>
  <c r="H21" i="10"/>
  <c r="H23" i="10"/>
  <c r="H34" i="10"/>
  <c r="H35" i="10"/>
  <c r="H37" i="10"/>
  <c r="H64" i="10"/>
  <c r="G65" i="10" l="1"/>
  <c r="F65" i="10"/>
  <c r="H65" i="10" s="1"/>
  <c r="G22" i="10"/>
  <c r="F22" i="10"/>
  <c r="F36" i="10"/>
  <c r="G36" i="10"/>
  <c r="H5" i="10"/>
  <c r="H22" i="10" l="1"/>
  <c r="H36" i="10"/>
  <c r="H8" i="10"/>
</calcChain>
</file>

<file path=xl/sharedStrings.xml><?xml version="1.0" encoding="utf-8"?>
<sst xmlns="http://schemas.openxmlformats.org/spreadsheetml/2006/main" count="152" uniqueCount="92">
  <si>
    <t>Tsunamis Statement of Work</t>
  </si>
  <si>
    <t>Project Title</t>
  </si>
  <si>
    <t>Start Date</t>
  </si>
  <si>
    <t>Help Desk</t>
  </si>
  <si>
    <t>Project Duration</t>
  </si>
  <si>
    <t>Project Development Team</t>
  </si>
  <si>
    <t>End Date</t>
  </si>
  <si>
    <t>in days</t>
  </si>
  <si>
    <t>Eric (Lead), Jayce (Tester), Tre'sure (SWE), no Designer</t>
  </si>
  <si>
    <t>User Story #</t>
  </si>
  <si>
    <t>Status</t>
  </si>
  <si>
    <t>Use Cases</t>
  </si>
  <si>
    <r>
      <t>Duration (</t>
    </r>
    <r>
      <rPr>
        <b/>
        <sz val="10"/>
        <color rgb="FF001033"/>
        <rFont val="Century Gothic"/>
        <family val="1"/>
      </rPr>
      <t>in days)</t>
    </r>
  </si>
  <si>
    <t>Comments</t>
  </si>
  <si>
    <t>Eric</t>
  </si>
  <si>
    <t>Not Started</t>
  </si>
  <si>
    <r>
      <rPr>
        <sz val="11"/>
        <color rgb="FFFF0000"/>
        <rFont val="Century Gothic"/>
        <family val="1"/>
      </rPr>
      <t>#</t>
    </r>
    <r>
      <rPr>
        <sz val="11"/>
        <color theme="1"/>
        <rFont val="Century Gothic"/>
        <family val="1"/>
      </rPr>
      <t xml:space="preserve"> Update README with prioritized projects</t>
    </r>
  </si>
  <si>
    <t>On Hold</t>
  </si>
  <si>
    <t>SHA b6fa387</t>
  </si>
  <si>
    <t>What is this use case's user story number?  If no user story, make sure you add this as a user story in our final sprint.</t>
  </si>
  <si>
    <t>In Progress</t>
  </si>
  <si>
    <t>Complete</t>
  </si>
  <si>
    <t>Nov 26th: 5 commits, +616, -2</t>
  </si>
  <si>
    <t xml:space="preserve">Evaluate Dr. Edwards via Class Climate </t>
  </si>
  <si>
    <t>Evaluate team using Brightspace survey</t>
  </si>
  <si>
    <t>Jayce</t>
  </si>
  <si>
    <r>
      <rPr>
        <sz val="11"/>
        <color rgb="FFFF0000"/>
        <rFont val="Century Gothic"/>
        <family val="1"/>
      </rPr>
      <t>#</t>
    </r>
    <r>
      <rPr>
        <sz val="11"/>
        <color theme="1"/>
        <rFont val="Century Gothic"/>
        <family val="1"/>
      </rPr>
      <t xml:space="preserve"> Create initial driver and Scraper class to scrape (unprocessed) academic calendar</t>
    </r>
  </si>
  <si>
    <t>SHA 9eaf8aa</t>
  </si>
  <si>
    <t># Create function that returns the drop dates for each semester</t>
  </si>
  <si>
    <t>SHA 2b67803, d259f2b</t>
  </si>
  <si>
    <t>#Create test for functions in PerformScraping.py</t>
  </si>
  <si>
    <t>SHA 715e50c, cbcede1, 7d24d14, c449c6f, 91dc76b, 4009e4d</t>
  </si>
  <si>
    <t># Test resources.py</t>
  </si>
  <si>
    <t>SHA ef8e7cc, 91ecc54, 1c3a8a5, 72fd372, e155579, fc7bd08</t>
  </si>
  <si>
    <t>#Test every resources link to ensure nothing is broken</t>
  </si>
  <si>
    <t>SHA c962f98, d3153c0</t>
  </si>
  <si>
    <t>#Create tests for drop slip class</t>
  </si>
  <si>
    <t xml:space="preserve">SHA 327df74, 721c5cd, 8d15cfc, d0b2b22, 971b233, 917d06b, </t>
  </si>
  <si>
    <t>#Create tests for schedule class</t>
  </si>
  <si>
    <t>SHA 4decf9d</t>
  </si>
  <si>
    <t>I had more commits for this use case, but I had an issue merging the branch after the test fiolder was added.</t>
  </si>
  <si>
    <t>#Update checklist for team member contributions</t>
  </si>
  <si>
    <t>SHA 7e8229d</t>
  </si>
  <si>
    <t>Nov 26th: 9 commits, +176, -15</t>
  </si>
  <si>
    <t>Tre'sure</t>
  </si>
  <si>
    <r>
      <rPr>
        <sz val="11"/>
        <color rgb="FFFF0000"/>
        <rFont val="Century Gothic"/>
        <family val="1"/>
      </rPr>
      <t xml:space="preserve"># </t>
    </r>
    <r>
      <rPr>
        <sz val="11"/>
        <color theme="1"/>
        <rFont val="Century Gothic"/>
        <family val="1"/>
      </rPr>
      <t>Create Course data class (strangely your data class includes 2 functions that should be in the Course class), also called in the driver</t>
    </r>
  </si>
  <si>
    <t>SHA e45fb67, 064665a, 62aa1ef</t>
  </si>
  <si>
    <t>You and Eric need to figure out why Jayce is listed as a Contributor on our shared repo but tresurent is not.  Tre'sure can't earn points on this assignment unless she is a contributor to our shared repo.</t>
  </si>
  <si>
    <t>1(a)The student types the subject in the search bar.</t>
  </si>
  <si>
    <t>SHA 4f6dff1</t>
  </si>
  <si>
    <t>1(b)The page displays a scrollable list of courses for that subject</t>
  </si>
  <si>
    <t>1(c)The student clicks on the desired course.</t>
  </si>
  <si>
    <t>1(d)The student clicks on the desired course.</t>
  </si>
  <si>
    <t>1(e)The card displays the course description, CRN, prerequisites, and the add deadline</t>
  </si>
  <si>
    <t>1(f)Implement a function that reads course data from a CSV/JSON file.</t>
  </si>
  <si>
    <t>1(g)Implement a search function that filters courses by a subject code and returns them sorted by course number.</t>
  </si>
  <si>
    <t>1(h)Implement a "view_details" function that , given a selected, prints and shows the desciption, CRN, prerequisites, and add/drop dates.</t>
  </si>
  <si>
    <t>Nov 26th: 36 commits, +337, -250</t>
  </si>
  <si>
    <t>1(i)Verify that entering a invalid input will show a "No courses found" message instead of ending the code.</t>
  </si>
  <si>
    <t xml:space="preserve">SHA 4f6dff, ffeadef, </t>
  </si>
  <si>
    <t>6(a)CreAte a schedule class</t>
  </si>
  <si>
    <t>SHA 8e4d561</t>
  </si>
  <si>
    <t>6(b)Create a drop slip class</t>
  </si>
  <si>
    <t>SHA 9ec9ea1</t>
  </si>
  <si>
    <t>6(c)Create a function that writes to a drop slip file</t>
  </si>
  <si>
    <t>6(d)Retrieve the CRN and all other necessary information for a course.</t>
  </si>
  <si>
    <t>SHA 3e514a0</t>
  </si>
  <si>
    <t>6(e)]Check if the student is registered for the course</t>
  </si>
  <si>
    <t>6(f)The app prompts the user to enter the course that they wish to drop.</t>
  </si>
  <si>
    <t>SHA 7ef6f19</t>
  </si>
  <si>
    <t>4(d)Validate course code input: ensure the input is not empty and follows a pattern like SUBJECT + NUMBER.</t>
  </si>
  <si>
    <t>SHA abe82b5</t>
  </si>
  <si>
    <t>4(e)]Implement search function that takes the course code and checks the current semester’s course offerings.</t>
  </si>
  <si>
    <t>SHA 41bb0ed</t>
  </si>
  <si>
    <t>4(f) Display results for offered course: show “Course is offered this semester” and list all matching sections (CRN, days/times, instructor, seats).</t>
  </si>
  <si>
    <t>SHA  612067d</t>
  </si>
  <si>
    <t>4(g)Display message for not offered / not found course: show a clear message when no matching course exists for the semester.</t>
  </si>
  <si>
    <t>SHA 612067d</t>
  </si>
  <si>
    <t>4(h)Handle “all sections full” case: when course is offered but has no open seats, show a message like “All sections are full.”</t>
  </si>
  <si>
    <t>5(b)Build a resources module with URLs, icons, and categories.</t>
  </si>
  <si>
    <t>SHA 8e0ad41</t>
  </si>
  <si>
    <t>5(a)Show quick-link resources so I don’t have to search XULA’s website.</t>
  </si>
  <si>
    <t>SHA cd55f92</t>
  </si>
  <si>
    <t>5(c)Click “Drop Deadline Calendar” and see the dates instantly.</t>
  </si>
  <si>
    <t>SHA d6d3fdc</t>
  </si>
  <si>
    <t>5(f)Make professor office hours and emails displayed for common CPSC courses.</t>
  </si>
  <si>
    <t>SHA e4b6a80</t>
  </si>
  <si>
    <t>5(j)Store the resources in a JSON or CSV file so they’re easy to update later.</t>
  </si>
  <si>
    <t>SHA 6a2774e</t>
  </si>
  <si>
    <t>Vacant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</si>
  <si>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</si>
  <si>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https://www.smartsheet.com/top-project-management-excel-templates?srsltid=AfmBOorM8KTqo0GkEazFKhVFp3ozfOh-BifeI1KKxQxM0WpR5p08gBRL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</si>
</sst>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0">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b/>
      <sz val="10"/>
      <color rgb="FFFF0000"/>
      <name val="Century Gothic"/>
      <family val="1"/>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0">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19" fillId="2" borderId="0" xfId="0" applyFont="1" applyFill="1"/>
  </cellXfs>
  <cellStyles count="6">
    <cellStyle name="Followed Hyperlink" xfId="4" builtinId="9" hidden="1"/>
    <cellStyle name="Followed Hyperlink" xfId="3" builtinId="9" hidden="1"/>
    <cellStyle name="Followed Hyperlink" xfId="2"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Tsunamis!$F$7</c:f>
              <c:strCache>
                <c:ptCount val="1"/>
                <c:pt idx="0">
                  <c:v>Start Date</c:v>
                </c:pt>
              </c:strCache>
            </c:strRef>
          </c:tx>
          <c:spPr>
            <a:noFill/>
            <a:ln>
              <a:noFill/>
            </a:ln>
            <a:effectLst/>
          </c:spPr>
          <c:invertIfNegative val="0"/>
          <c:cat>
            <c:strRef>
              <c:f>Tsunamis!$C$8:$C$78</c:f>
              <c:strCache>
                <c:ptCount val="58"/>
                <c:pt idx="0">
                  <c:v>Eric</c:v>
                </c:pt>
                <c:pt idx="1">
                  <c:v># Update README with prioritized projects</c:v>
                </c:pt>
                <c:pt idx="12">
                  <c:v>Evaluate Dr. Edwards via Class Climate </c:v>
                </c:pt>
                <c:pt idx="13">
                  <c:v>Evaluate team using Brightspace survey</c:v>
                </c:pt>
                <c:pt idx="14">
                  <c:v>Jayce</c:v>
                </c:pt>
                <c:pt idx="15">
                  <c:v># Create initial driver and Scraper class to scrape (unprocessed) academic calendar</c:v>
                </c:pt>
                <c:pt idx="16">
                  <c:v># Create function that returns the drop dates for each semester</c:v>
                </c:pt>
                <c:pt idx="17">
                  <c:v>#Create test for functions in PerformScraping.py</c:v>
                </c:pt>
                <c:pt idx="18">
                  <c:v># Test resources.py</c:v>
                </c:pt>
                <c:pt idx="19">
                  <c:v>#Test every resources link to ensure nothing is broken</c:v>
                </c:pt>
                <c:pt idx="20">
                  <c:v>#Create tests for drop slip class</c:v>
                </c:pt>
                <c:pt idx="21">
                  <c:v>#Create tests for schedule class</c:v>
                </c:pt>
                <c:pt idx="22">
                  <c:v>#Update checklist for team member contributions</c:v>
                </c:pt>
                <c:pt idx="26">
                  <c:v>Evaluate Dr. Edwards via Class Climate </c:v>
                </c:pt>
                <c:pt idx="27">
                  <c:v>Evaluate team using Brightspace survey</c:v>
                </c:pt>
                <c:pt idx="28">
                  <c:v>Tre'sure</c:v>
                </c:pt>
                <c:pt idx="29">
                  <c:v># Create Course data class (strangely your data class includes 2 functions that should be in the Course class), also called in the driver</c:v>
                </c:pt>
                <c:pt idx="30">
                  <c:v>1(a)The student types the subject in the search bar.</c:v>
                </c:pt>
                <c:pt idx="31">
                  <c:v>1(b)The page displays a scrollable list of courses for that subject</c:v>
                </c:pt>
                <c:pt idx="32">
                  <c:v>1(c)The student clicks on the desired course.</c:v>
                </c:pt>
                <c:pt idx="33">
                  <c:v>1(d)The student clicks on the desired course.</c:v>
                </c:pt>
                <c:pt idx="34">
                  <c:v>1(e)The card displays the course description, CRN, prerequisites, and the add deadline</c:v>
                </c:pt>
                <c:pt idx="35">
                  <c:v>1(f)Implement a function that reads course data from a CSV/JSON file.</c:v>
                </c:pt>
                <c:pt idx="36">
                  <c:v>1(g)Implement a search function that filters courses by a subject code and returns them sorted by course number.</c:v>
                </c:pt>
                <c:pt idx="37">
                  <c:v>1(h)Implement a "view_details" function that , given a selected, prints and shows the desciption, CRN, prerequisites, and add/drop dates.</c:v>
                </c:pt>
                <c:pt idx="38">
                  <c:v>1(i)Verify that entering a invalid input will show a "No courses found" message instead of ending the code.</c:v>
                </c:pt>
                <c:pt idx="39">
                  <c:v>6(a)CreAte a schedule class</c:v>
                </c:pt>
                <c:pt idx="40">
                  <c:v>6(b)Create a drop slip class</c:v>
                </c:pt>
                <c:pt idx="41">
                  <c:v>6(c)Create a function that writes to a drop slip file</c:v>
                </c:pt>
                <c:pt idx="42">
                  <c:v>6(d)Retrieve the CRN and all other necessary information for a course.</c:v>
                </c:pt>
                <c:pt idx="43">
                  <c:v>6(e)]Check if the student is registered for the course</c:v>
                </c:pt>
                <c:pt idx="44">
                  <c:v>6(f)The app prompts the user to enter the course that they wish to drop.</c:v>
                </c:pt>
                <c:pt idx="45">
                  <c:v>4(d)Validate course code input: ensure the input is not empty and follows a pattern like SUBJECT + NUMBER.</c:v>
                </c:pt>
                <c:pt idx="46">
                  <c:v>4(e)]Implement search function that takes the course code and checks the current semester’s course offerings.</c:v>
                </c:pt>
                <c:pt idx="47">
                  <c:v>4(f) Display results for offered course: show “Course is offered this semester” and list all matching sections (CRN, days/times, instructor, seats).</c:v>
                </c:pt>
                <c:pt idx="48">
                  <c:v>4(g)Display message for not offered / not found course: show a clear message when no matching course exists for the semester.</c:v>
                </c:pt>
                <c:pt idx="49">
                  <c:v>4(h)Handle “all sections full” case: when course is offered but has no open seats, show a message like “All sections are full.”</c:v>
                </c:pt>
                <c:pt idx="50">
                  <c:v>5(b)Build a resources module with URLs, icons, and categories.</c:v>
                </c:pt>
                <c:pt idx="51">
                  <c:v>5(a)Show quick-link resources so I don’t have to search XULA’s website.</c:v>
                </c:pt>
                <c:pt idx="52">
                  <c:v>5(c)Click “Drop Deadline Calendar” and see the dates instantly.</c:v>
                </c:pt>
                <c:pt idx="53">
                  <c:v>5(f)Make professor office hours and emails displayed for common CPSC courses.</c:v>
                </c:pt>
                <c:pt idx="54">
                  <c:v>5(j)Store the resources in a JSON or CSV file so they’re easy to update later.</c:v>
                </c:pt>
                <c:pt idx="55">
                  <c:v>Evaluate Dr. Edwards via Class Climate </c:v>
                </c:pt>
                <c:pt idx="56">
                  <c:v>Evaluate team using Brightspace survey</c:v>
                </c:pt>
                <c:pt idx="57">
                  <c:v>Vacant</c:v>
                </c:pt>
              </c:strCache>
            </c:strRef>
          </c:cat>
          <c:val>
            <c:numRef>
              <c:f>Tsunamis!$F$8:$F$78</c:f>
              <c:numCache>
                <c:formatCode>m/d;@</c:formatCode>
                <c:ptCount val="71"/>
                <c:pt idx="0">
                  <c:v>45972</c:v>
                </c:pt>
                <c:pt idx="1">
                  <c:v>45972</c:v>
                </c:pt>
                <c:pt idx="12">
                  <c:v>45983</c:v>
                </c:pt>
                <c:pt idx="13">
                  <c:v>45992</c:v>
                </c:pt>
                <c:pt idx="14">
                  <c:v>45981</c:v>
                </c:pt>
                <c:pt idx="15">
                  <c:v>45981</c:v>
                </c:pt>
                <c:pt idx="16">
                  <c:v>45982</c:v>
                </c:pt>
                <c:pt idx="17">
                  <c:v>45984</c:v>
                </c:pt>
                <c:pt idx="18">
                  <c:v>45992</c:v>
                </c:pt>
                <c:pt idx="19">
                  <c:v>45992</c:v>
                </c:pt>
                <c:pt idx="20">
                  <c:v>45992</c:v>
                </c:pt>
                <c:pt idx="21">
                  <c:v>45992</c:v>
                </c:pt>
                <c:pt idx="22">
                  <c:v>45992</c:v>
                </c:pt>
                <c:pt idx="26">
                  <c:v>45983</c:v>
                </c:pt>
                <c:pt idx="27">
                  <c:v>45992</c:v>
                </c:pt>
                <c:pt idx="28">
                  <c:v>45973</c:v>
                </c:pt>
                <c:pt idx="29">
                  <c:v>45973</c:v>
                </c:pt>
                <c:pt idx="30">
                  <c:v>45984</c:v>
                </c:pt>
                <c:pt idx="31">
                  <c:v>45984</c:v>
                </c:pt>
                <c:pt idx="32">
                  <c:v>45984</c:v>
                </c:pt>
                <c:pt idx="33">
                  <c:v>45984</c:v>
                </c:pt>
                <c:pt idx="34">
                  <c:v>45984</c:v>
                </c:pt>
                <c:pt idx="35">
                  <c:v>45984</c:v>
                </c:pt>
                <c:pt idx="36">
                  <c:v>45984</c:v>
                </c:pt>
                <c:pt idx="37">
                  <c:v>45984</c:v>
                </c:pt>
                <c:pt idx="38">
                  <c:v>45984</c:v>
                </c:pt>
                <c:pt idx="39">
                  <c:v>45990</c:v>
                </c:pt>
                <c:pt idx="40">
                  <c:v>45990</c:v>
                </c:pt>
                <c:pt idx="41">
                  <c:v>45990</c:v>
                </c:pt>
                <c:pt idx="42">
                  <c:v>45990</c:v>
                </c:pt>
                <c:pt idx="43">
                  <c:v>45990</c:v>
                </c:pt>
                <c:pt idx="44">
                  <c:v>45990</c:v>
                </c:pt>
                <c:pt idx="45">
                  <c:v>45990</c:v>
                </c:pt>
                <c:pt idx="46">
                  <c:v>45990</c:v>
                </c:pt>
                <c:pt idx="47">
                  <c:v>45990</c:v>
                </c:pt>
                <c:pt idx="48">
                  <c:v>45990</c:v>
                </c:pt>
                <c:pt idx="49">
                  <c:v>45990</c:v>
                </c:pt>
                <c:pt idx="50">
                  <c:v>45990</c:v>
                </c:pt>
                <c:pt idx="51">
                  <c:v>45990</c:v>
                </c:pt>
                <c:pt idx="52">
                  <c:v>45990</c:v>
                </c:pt>
                <c:pt idx="53">
                  <c:v>45990</c:v>
                </c:pt>
                <c:pt idx="54">
                  <c:v>45990</c:v>
                </c:pt>
                <c:pt idx="55">
                  <c:v>45983</c:v>
                </c:pt>
                <c:pt idx="56">
                  <c:v>45992</c:v>
                </c:pt>
                <c:pt idx="57">
                  <c:v>0</c:v>
                </c:pt>
              </c:numCache>
            </c:numRef>
          </c:val>
          <c:extLst>
            <c:ext xmlns:c16="http://schemas.microsoft.com/office/drawing/2014/chart" uri="{C3380CC4-5D6E-409C-BE32-E72D297353CC}">
              <c16:uniqueId val="{00000000-8C3B-6B4E-8271-047982C56358}"/>
            </c:ext>
          </c:extLst>
        </c:ser>
        <c:ser>
          <c:idx val="1"/>
          <c:order val="1"/>
          <c:tx>
            <c:strRef>
              <c:f>Tsunamis!$H$7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55"/>
            <c:invertIfNegative val="0"/>
            <c:bubble3D val="0"/>
            <c:spPr>
              <a:solidFill>
                <a:srgbClr val="FFC000">
                  <a:alpha val="79000"/>
                </a:srgbClr>
              </a:solidFill>
              <a:ln>
                <a:noFill/>
              </a:ln>
              <a:effectLst/>
            </c:spPr>
            <c:extLst>
              <c:ext xmlns:c16="http://schemas.microsoft.com/office/drawing/2014/chart" uri="{C3380CC4-5D6E-409C-BE32-E72D297353CC}">
                <c16:uniqueId val="{00000055-2861-6041-83A9-82CE5B359BF0}"/>
              </c:ext>
            </c:extLst>
          </c:dPt>
          <c:dPt>
            <c:idx val="56"/>
            <c:invertIfNegative val="0"/>
            <c:bubble3D val="0"/>
            <c:spPr>
              <a:solidFill>
                <a:srgbClr val="FFC000">
                  <a:alpha val="79000"/>
                </a:srgbClr>
              </a:solidFill>
              <a:ln>
                <a:noFill/>
              </a:ln>
              <a:effectLst/>
            </c:spPr>
            <c:extLst>
              <c:ext xmlns:c16="http://schemas.microsoft.com/office/drawing/2014/chart" uri="{C3380CC4-5D6E-409C-BE32-E72D297353CC}">
                <c16:uniqueId val="{00000059-6BD6-44B2-A88A-2EC0EE8AD4B3}"/>
              </c:ext>
            </c:extLst>
          </c:dPt>
          <c:dPt>
            <c:idx val="57"/>
            <c:invertIfNegative val="0"/>
            <c:bubble3D val="0"/>
            <c:spPr>
              <a:solidFill>
                <a:schemeClr val="tx1">
                  <a:alpha val="79000"/>
                </a:schemeClr>
              </a:solidFill>
              <a:ln>
                <a:noFill/>
              </a:ln>
              <a:effectLst/>
            </c:spPr>
            <c:extLst>
              <c:ext xmlns:c16="http://schemas.microsoft.com/office/drawing/2014/chart" uri="{C3380CC4-5D6E-409C-BE32-E72D297353CC}">
                <c16:uniqueId val="{0000005B-6BD6-44B2-A88A-2EC0EE8AD4B3}"/>
              </c:ext>
            </c:extLst>
          </c:dPt>
          <c:dPt>
            <c:idx val="5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D-6BD6-44B2-A88A-2EC0EE8AD4B3}"/>
              </c:ext>
            </c:extLst>
          </c:dPt>
          <c:dPt>
            <c:idx val="5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F-6BD6-44B2-A88A-2EC0EE8AD4B3}"/>
              </c:ext>
            </c:extLst>
          </c:dPt>
          <c:dPt>
            <c:idx val="6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1-6BD6-44B2-A88A-2EC0EE8AD4B3}"/>
              </c:ext>
            </c:extLst>
          </c:dPt>
          <c:dPt>
            <c:idx val="6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3-6BD6-44B2-A88A-2EC0EE8AD4B3}"/>
              </c:ext>
            </c:extLst>
          </c:dPt>
          <c:dPt>
            <c:idx val="6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5-6BD6-44B2-A88A-2EC0EE8AD4B3}"/>
              </c:ext>
            </c:extLst>
          </c:dPt>
          <c:dPt>
            <c:idx val="6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7-6BD6-44B2-A88A-2EC0EE8AD4B3}"/>
              </c:ext>
            </c:extLst>
          </c:dPt>
          <c:dPt>
            <c:idx val="6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9-6BD6-44B2-A88A-2EC0EE8AD4B3}"/>
              </c:ext>
            </c:extLst>
          </c:dPt>
          <c:dPt>
            <c:idx val="6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B-6BD6-44B2-A88A-2EC0EE8AD4B3}"/>
              </c:ext>
            </c:extLst>
          </c:dPt>
          <c:dPt>
            <c:idx val="6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D-6BD6-44B2-A88A-2EC0EE8AD4B3}"/>
              </c:ext>
            </c:extLst>
          </c:dPt>
          <c:dPt>
            <c:idx val="6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F-6BD6-44B2-A88A-2EC0EE8AD4B3}"/>
              </c:ext>
            </c:extLst>
          </c:dPt>
          <c:dPt>
            <c:idx val="6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B-544C-4B91-929F-D4D47FFBE06C}"/>
              </c:ext>
            </c:extLst>
          </c:dPt>
          <c:dPt>
            <c:idx val="6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D-544C-4B91-929F-D4D47FFBE06C}"/>
              </c:ext>
            </c:extLst>
          </c:dPt>
          <c:dPt>
            <c:idx val="7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F-544C-4B91-929F-D4D47FFBE06C}"/>
              </c:ext>
            </c:extLst>
          </c:dPt>
          <c:cat>
            <c:strRef>
              <c:f>Tsunamis!$C$8:$C$78</c:f>
              <c:strCache>
                <c:ptCount val="58"/>
                <c:pt idx="0">
                  <c:v>Eric</c:v>
                </c:pt>
                <c:pt idx="1">
                  <c:v># Update README with prioritized projects</c:v>
                </c:pt>
                <c:pt idx="12">
                  <c:v>Evaluate Dr. Edwards via Class Climate </c:v>
                </c:pt>
                <c:pt idx="13">
                  <c:v>Evaluate team using Brightspace survey</c:v>
                </c:pt>
                <c:pt idx="14">
                  <c:v>Jayce</c:v>
                </c:pt>
                <c:pt idx="15">
                  <c:v># Create initial driver and Scraper class to scrape (unprocessed) academic calendar</c:v>
                </c:pt>
                <c:pt idx="16">
                  <c:v># Create function that returns the drop dates for each semester</c:v>
                </c:pt>
                <c:pt idx="17">
                  <c:v>#Create test for functions in PerformScraping.py</c:v>
                </c:pt>
                <c:pt idx="18">
                  <c:v># Test resources.py</c:v>
                </c:pt>
                <c:pt idx="19">
                  <c:v>#Test every resources link to ensure nothing is broken</c:v>
                </c:pt>
                <c:pt idx="20">
                  <c:v>#Create tests for drop slip class</c:v>
                </c:pt>
                <c:pt idx="21">
                  <c:v>#Create tests for schedule class</c:v>
                </c:pt>
                <c:pt idx="22">
                  <c:v>#Update checklist for team member contributions</c:v>
                </c:pt>
                <c:pt idx="26">
                  <c:v>Evaluate Dr. Edwards via Class Climate </c:v>
                </c:pt>
                <c:pt idx="27">
                  <c:v>Evaluate team using Brightspace survey</c:v>
                </c:pt>
                <c:pt idx="28">
                  <c:v>Tre'sure</c:v>
                </c:pt>
                <c:pt idx="29">
                  <c:v># Create Course data class (strangely your data class includes 2 functions that should be in the Course class), also called in the driver</c:v>
                </c:pt>
                <c:pt idx="30">
                  <c:v>1(a)The student types the subject in the search bar.</c:v>
                </c:pt>
                <c:pt idx="31">
                  <c:v>1(b)The page displays a scrollable list of courses for that subject</c:v>
                </c:pt>
                <c:pt idx="32">
                  <c:v>1(c)The student clicks on the desired course.</c:v>
                </c:pt>
                <c:pt idx="33">
                  <c:v>1(d)The student clicks on the desired course.</c:v>
                </c:pt>
                <c:pt idx="34">
                  <c:v>1(e)The card displays the course description, CRN, prerequisites, and the add deadline</c:v>
                </c:pt>
                <c:pt idx="35">
                  <c:v>1(f)Implement a function that reads course data from a CSV/JSON file.</c:v>
                </c:pt>
                <c:pt idx="36">
                  <c:v>1(g)Implement a search function that filters courses by a subject code and returns them sorted by course number.</c:v>
                </c:pt>
                <c:pt idx="37">
                  <c:v>1(h)Implement a "view_details" function that , given a selected, prints and shows the desciption, CRN, prerequisites, and add/drop dates.</c:v>
                </c:pt>
                <c:pt idx="38">
                  <c:v>1(i)Verify that entering a invalid input will show a "No courses found" message instead of ending the code.</c:v>
                </c:pt>
                <c:pt idx="39">
                  <c:v>6(a)CreAte a schedule class</c:v>
                </c:pt>
                <c:pt idx="40">
                  <c:v>6(b)Create a drop slip class</c:v>
                </c:pt>
                <c:pt idx="41">
                  <c:v>6(c)Create a function that writes to a drop slip file</c:v>
                </c:pt>
                <c:pt idx="42">
                  <c:v>6(d)Retrieve the CRN and all other necessary information for a course.</c:v>
                </c:pt>
                <c:pt idx="43">
                  <c:v>6(e)]Check if the student is registered for the course</c:v>
                </c:pt>
                <c:pt idx="44">
                  <c:v>6(f)The app prompts the user to enter the course that they wish to drop.</c:v>
                </c:pt>
                <c:pt idx="45">
                  <c:v>4(d)Validate course code input: ensure the input is not empty and follows a pattern like SUBJECT + NUMBER.</c:v>
                </c:pt>
                <c:pt idx="46">
                  <c:v>4(e)]Implement search function that takes the course code and checks the current semester’s course offerings.</c:v>
                </c:pt>
                <c:pt idx="47">
                  <c:v>4(f) Display results for offered course: show “Course is offered this semester” and list all matching sections (CRN, days/times, instructor, seats).</c:v>
                </c:pt>
                <c:pt idx="48">
                  <c:v>4(g)Display message for not offered / not found course: show a clear message when no matching course exists for the semester.</c:v>
                </c:pt>
                <c:pt idx="49">
                  <c:v>4(h)Handle “all sections full” case: when course is offered but has no open seats, show a message like “All sections are full.”</c:v>
                </c:pt>
                <c:pt idx="50">
                  <c:v>5(b)Build a resources module with URLs, icons, and categories.</c:v>
                </c:pt>
                <c:pt idx="51">
                  <c:v>5(a)Show quick-link resources so I don’t have to search XULA’s website.</c:v>
                </c:pt>
                <c:pt idx="52">
                  <c:v>5(c)Click “Drop Deadline Calendar” and see the dates instantly.</c:v>
                </c:pt>
                <c:pt idx="53">
                  <c:v>5(f)Make professor office hours and emails displayed for common CPSC courses.</c:v>
                </c:pt>
                <c:pt idx="54">
                  <c:v>5(j)Store the resources in a JSON or CSV file so they’re easy to update later.</c:v>
                </c:pt>
                <c:pt idx="55">
                  <c:v>Evaluate Dr. Edwards via Class Climate </c:v>
                </c:pt>
                <c:pt idx="56">
                  <c:v>Evaluate team using Brightspace survey</c:v>
                </c:pt>
                <c:pt idx="57">
                  <c:v>Vacant</c:v>
                </c:pt>
              </c:strCache>
            </c:strRef>
          </c:cat>
          <c:val>
            <c:numRef>
              <c:f>Tsunamis!$H$8:$H$78</c:f>
              <c:numCache>
                <c:formatCode>0</c:formatCode>
                <c:ptCount val="71"/>
                <c:pt idx="0">
                  <c:v>28</c:v>
                </c:pt>
                <c:pt idx="1">
                  <c:v>1</c:v>
                </c:pt>
                <c:pt idx="12">
                  <c:v>17</c:v>
                </c:pt>
                <c:pt idx="13">
                  <c:v>1</c:v>
                </c:pt>
                <c:pt idx="14">
                  <c:v>19</c:v>
                </c:pt>
                <c:pt idx="15">
                  <c:v>1</c:v>
                </c:pt>
                <c:pt idx="16">
                  <c:v>1</c:v>
                </c:pt>
                <c:pt idx="17">
                  <c:v>1</c:v>
                </c:pt>
                <c:pt idx="18">
                  <c:v>1</c:v>
                </c:pt>
                <c:pt idx="19">
                  <c:v>1</c:v>
                </c:pt>
                <c:pt idx="20">
                  <c:v>1</c:v>
                </c:pt>
                <c:pt idx="21">
                  <c:v>1</c:v>
                </c:pt>
                <c:pt idx="22">
                  <c:v>1</c:v>
                </c:pt>
                <c:pt idx="26">
                  <c:v>17</c:v>
                </c:pt>
                <c:pt idx="27">
                  <c:v>1</c:v>
                </c:pt>
                <c:pt idx="28" formatCode="General">
                  <c:v>27</c:v>
                </c:pt>
                <c:pt idx="29">
                  <c:v>3</c:v>
                </c:pt>
                <c:pt idx="30">
                  <c:v>3</c:v>
                </c:pt>
                <c:pt idx="31">
                  <c:v>3</c:v>
                </c:pt>
                <c:pt idx="32">
                  <c:v>3</c:v>
                </c:pt>
                <c:pt idx="33">
                  <c:v>3</c:v>
                </c:pt>
                <c:pt idx="34">
                  <c:v>3</c:v>
                </c:pt>
                <c:pt idx="35">
                  <c:v>3</c:v>
                </c:pt>
                <c:pt idx="37">
                  <c:v>3</c:v>
                </c:pt>
                <c:pt idx="38">
                  <c:v>3</c:v>
                </c:pt>
                <c:pt idx="39">
                  <c:v>1</c:v>
                </c:pt>
                <c:pt idx="40">
                  <c:v>1</c:v>
                </c:pt>
                <c:pt idx="41">
                  <c:v>1</c:v>
                </c:pt>
                <c:pt idx="42">
                  <c:v>1</c:v>
                </c:pt>
                <c:pt idx="43">
                  <c:v>1</c:v>
                </c:pt>
                <c:pt idx="44">
                  <c:v>1</c:v>
                </c:pt>
                <c:pt idx="45">
                  <c:v>2</c:v>
                </c:pt>
                <c:pt idx="46">
                  <c:v>2</c:v>
                </c:pt>
                <c:pt idx="47">
                  <c:v>2</c:v>
                </c:pt>
                <c:pt idx="48">
                  <c:v>2</c:v>
                </c:pt>
                <c:pt idx="49">
                  <c:v>2</c:v>
                </c:pt>
                <c:pt idx="50">
                  <c:v>2</c:v>
                </c:pt>
                <c:pt idx="51">
                  <c:v>2</c:v>
                </c:pt>
                <c:pt idx="52">
                  <c:v>2</c:v>
                </c:pt>
                <c:pt idx="53">
                  <c:v>2</c:v>
                </c:pt>
                <c:pt idx="54">
                  <c:v>2</c:v>
                </c:pt>
                <c:pt idx="56">
                  <c:v>1</c:v>
                </c:pt>
                <c:pt idx="57" formatCode="General">
                  <c:v>0</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78</xdr:row>
      <xdr:rowOff>114300</xdr:rowOff>
    </xdr:from>
    <xdr:to>
      <xdr:col>8</xdr:col>
      <xdr:colOff>3860800</xdr:colOff>
      <xdr:row>80</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12700</xdr:colOff>
      <xdr:row>12</xdr:row>
      <xdr:rowOff>63500</xdr:rowOff>
    </xdr:from>
    <xdr:to>
      <xdr:col>19</xdr:col>
      <xdr:colOff>101600</xdr:colOff>
      <xdr:row>17</xdr:row>
      <xdr:rowOff>101600</xdr:rowOff>
    </xdr:to>
    <xdr:pic>
      <xdr:nvPicPr>
        <xdr:cNvPr id="7" name="Picture 6">
          <a:extLst>
            <a:ext uri="{FF2B5EF4-FFF2-40B4-BE49-F238E27FC236}">
              <a16:creationId xmlns:a16="http://schemas.microsoft.com/office/drawing/2014/main" id="{CE959E3E-23AE-2E84-66D6-B6C28F8E32F4}"/>
            </a:ext>
          </a:extLst>
        </xdr:cNvPr>
        <xdr:cNvPicPr>
          <a:picLocks noChangeAspect="1"/>
        </xdr:cNvPicPr>
      </xdr:nvPicPr>
      <xdr:blipFill>
        <a:blip xmlns:r="http://schemas.openxmlformats.org/officeDocument/2006/relationships" r:embed="rId2"/>
        <a:stretch>
          <a:fillRect/>
        </a:stretch>
      </xdr:blipFill>
      <xdr:spPr>
        <a:xfrm>
          <a:off x="15671800" y="4241800"/>
          <a:ext cx="7620000" cy="1625600"/>
        </a:xfrm>
        <a:prstGeom prst="rect">
          <a:avLst/>
        </a:prstGeom>
      </xdr:spPr>
    </xdr:pic>
    <xdr:clientData/>
  </xdr:twoCellAnchor>
  <xdr:twoCellAnchor editAs="oneCell">
    <xdr:from>
      <xdr:col>9</xdr:col>
      <xdr:colOff>228600</xdr:colOff>
      <xdr:row>25</xdr:row>
      <xdr:rowOff>50800</xdr:rowOff>
    </xdr:from>
    <xdr:to>
      <xdr:col>19</xdr:col>
      <xdr:colOff>63500</xdr:colOff>
      <xdr:row>30</xdr:row>
      <xdr:rowOff>88900</xdr:rowOff>
    </xdr:to>
    <xdr:pic>
      <xdr:nvPicPr>
        <xdr:cNvPr id="8" name="Picture 7">
          <a:extLst>
            <a:ext uri="{FF2B5EF4-FFF2-40B4-BE49-F238E27FC236}">
              <a16:creationId xmlns:a16="http://schemas.microsoft.com/office/drawing/2014/main" id="{F6740DC9-C1AD-8861-A1CC-D7D8B2588AAC}"/>
            </a:ext>
          </a:extLst>
        </xdr:cNvPr>
        <xdr:cNvPicPr>
          <a:picLocks noChangeAspect="1"/>
        </xdr:cNvPicPr>
      </xdr:nvPicPr>
      <xdr:blipFill>
        <a:blip xmlns:r="http://schemas.openxmlformats.org/officeDocument/2006/relationships" r:embed="rId3"/>
        <a:stretch>
          <a:fillRect/>
        </a:stretch>
      </xdr:blipFill>
      <xdr:spPr>
        <a:xfrm>
          <a:off x="15633700" y="84201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24"/>
  <sheetViews>
    <sheetView showGridLines="0" tabSelected="1" workbookViewId="0">
      <pane ySplit="1" topLeftCell="B38" activePane="bottomLeft" state="frozen"/>
      <selection pane="bottomLeft" activeCell="M50" sqref="M50"/>
    </sheetView>
  </sheetViews>
  <sheetFormatPr defaultColWidth="11" defaultRowHeight="12.95" outlineLevelRow="1"/>
  <cols>
    <col min="1" max="1" width="3.375" style="7" customWidth="1"/>
    <col min="2" max="2" width="7.875" style="7" customWidth="1"/>
    <col min="3" max="3" width="57" style="7" bestFit="1" customWidth="1"/>
    <col min="4" max="4" width="12.875" style="7" customWidth="1"/>
    <col min="5" max="5" width="22.375" style="7" bestFit="1" customWidth="1"/>
    <col min="6" max="6" width="12.625" style="39" customWidth="1"/>
    <col min="7" max="7" width="11.875" style="39" customWidth="1"/>
    <col min="8" max="8" width="10.625" style="7" customWidth="1"/>
    <col min="9" max="9" width="63.625" style="7" customWidth="1"/>
    <col min="10" max="10" width="3.375" style="7" customWidth="1"/>
    <col min="11" max="11" width="12.875" style="7" customWidth="1"/>
    <col min="12" max="17" width="11" style="7"/>
    <col min="18" max="18" width="9" style="7" customWidth="1"/>
    <col min="19" max="22" width="11" style="7"/>
    <col min="23" max="23" width="51.875" style="7" customWidth="1"/>
    <col min="24" max="16384" width="11" style="7"/>
  </cols>
  <sheetData>
    <row r="1" spans="1:258" ht="57" customHeight="1">
      <c r="A1" s="1"/>
      <c r="B1" s="29" t="s">
        <v>0</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c r="A2" s="18"/>
      <c r="B2" s="18"/>
      <c r="C2" s="18" t="s">
        <v>1</v>
      </c>
      <c r="D2" s="18"/>
      <c r="E2" s="18" t="s">
        <v>2</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c r="A3" s="1"/>
      <c r="B3" s="1"/>
      <c r="C3" s="21" t="s">
        <v>3</v>
      </c>
      <c r="D3" s="1"/>
      <c r="E3" s="27">
        <v>45970</v>
      </c>
      <c r="F3" s="36"/>
      <c r="G3" s="36"/>
      <c r="H3" s="1" t="s">
        <v>4</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c r="A4" s="18"/>
      <c r="B4" s="18"/>
      <c r="C4" s="22" t="s">
        <v>5</v>
      </c>
      <c r="D4" s="18"/>
      <c r="E4" s="22" t="s">
        <v>6</v>
      </c>
      <c r="F4" s="35"/>
      <c r="G4" s="35"/>
      <c r="H4" s="18" t="s">
        <v>7</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c r="A5" s="1"/>
      <c r="B5" s="1"/>
      <c r="C5" s="26" t="s">
        <v>8</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1" customHeight="1" thickBot="1">
      <c r="A7" s="10"/>
      <c r="B7" s="24"/>
      <c r="C7" s="24" t="s">
        <v>9</v>
      </c>
      <c r="D7" s="24" t="s">
        <v>10</v>
      </c>
      <c r="E7" s="24" t="s">
        <v>11</v>
      </c>
      <c r="F7" s="37" t="s">
        <v>2</v>
      </c>
      <c r="G7" s="38" t="s">
        <v>6</v>
      </c>
      <c r="H7" s="32" t="s">
        <v>12</v>
      </c>
      <c r="I7" s="24" t="s">
        <v>13</v>
      </c>
      <c r="J7" s="10"/>
      <c r="K7" s="31" t="s">
        <v>10</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4.95" customHeight="1">
      <c r="A8" s="47"/>
      <c r="B8" s="62"/>
      <c r="C8" s="63" t="s">
        <v>14</v>
      </c>
      <c r="D8" s="25"/>
      <c r="E8" s="25"/>
      <c r="F8" s="64">
        <f>MIN(F9:F21)</f>
        <v>45972</v>
      </c>
      <c r="G8" s="65">
        <f>MAX(G9:G21)</f>
        <v>45999</v>
      </c>
      <c r="H8" s="66">
        <f>IF(F8=0,0,G8-F8)+1</f>
        <v>28</v>
      </c>
      <c r="I8" s="25"/>
      <c r="J8" s="47"/>
      <c r="K8" s="67" t="s">
        <v>15</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27.95" outlineLevel="1">
      <c r="A9" s="8"/>
      <c r="B9" s="2"/>
      <c r="C9" s="14" t="s">
        <v>16</v>
      </c>
      <c r="D9" s="3" t="s">
        <v>17</v>
      </c>
      <c r="E9" s="4" t="s">
        <v>18</v>
      </c>
      <c r="F9" s="40">
        <v>45972</v>
      </c>
      <c r="G9" s="40">
        <v>45972</v>
      </c>
      <c r="H9" s="45">
        <f t="shared" ref="H9" si="0">IF(OR(F9=0, ISBLANK(F9)),0,G9-F9+1)</f>
        <v>1</v>
      </c>
      <c r="I9" s="78" t="s">
        <v>19</v>
      </c>
      <c r="J9" s="8"/>
      <c r="K9" s="30" t="s">
        <v>20</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4.95" customHeight="1" outlineLevel="1">
      <c r="A10" s="8"/>
      <c r="B10" s="2"/>
      <c r="C10" s="14"/>
      <c r="D10" s="3"/>
      <c r="E10" s="4"/>
      <c r="F10" s="40"/>
      <c r="G10" s="40"/>
      <c r="H10" s="45"/>
      <c r="I10" s="2"/>
      <c r="J10" s="8"/>
      <c r="K10" s="3" t="s">
        <v>21</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4.95" customHeight="1" outlineLevel="1">
      <c r="A11" s="8"/>
      <c r="B11" s="2"/>
      <c r="C11" s="14"/>
      <c r="D11" s="3"/>
      <c r="E11" s="4"/>
      <c r="F11" s="40"/>
      <c r="G11" s="40"/>
      <c r="H11" s="45"/>
      <c r="I11" s="2"/>
      <c r="J11" s="8"/>
      <c r="K11" s="12" t="s">
        <v>17</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4.95" customHeight="1" outlineLevel="1">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4.95" customHeight="1" outlineLevel="1">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4.95" customHeight="1" outlineLevel="1">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4.95" customHeight="1" outlineLevel="1">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4.95" customHeight="1" outlineLevel="1">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4.95" customHeight="1" outlineLevel="1">
      <c r="A17" s="8"/>
      <c r="B17" s="2"/>
      <c r="C17" s="14"/>
      <c r="D17" s="3"/>
      <c r="E17" s="20"/>
      <c r="F17" s="40"/>
      <c r="G17" s="40"/>
      <c r="H17" s="45"/>
      <c r="I17" s="2"/>
      <c r="J17" s="8"/>
      <c r="K17" s="1"/>
      <c r="L17" s="8"/>
      <c r="M17" s="8"/>
      <c r="N17" s="8"/>
      <c r="O17" s="8"/>
      <c r="P17" s="8"/>
      <c r="Q17" s="8"/>
      <c r="R17" s="8"/>
      <c r="S17" s="8"/>
      <c r="T17" s="8"/>
      <c r="U17" s="8"/>
      <c r="V17" s="8"/>
      <c r="W17" s="8" t="s">
        <v>22</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4.95" customHeight="1" outlineLevel="1">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4.95" customHeight="1" outlineLevel="1">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4.95" customHeight="1" outlineLevel="1">
      <c r="A20" s="8"/>
      <c r="B20" s="2"/>
      <c r="C20" s="14" t="s">
        <v>23</v>
      </c>
      <c r="D20" s="3" t="s">
        <v>15</v>
      </c>
      <c r="E20" s="13"/>
      <c r="F20" s="40">
        <v>45983</v>
      </c>
      <c r="G20" s="40">
        <v>45999</v>
      </c>
      <c r="H20" s="45">
        <f t="shared" ref="H20:H65" si="1">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4.95" customHeight="1" outlineLevel="1" thickBot="1">
      <c r="A21" s="8"/>
      <c r="B21" s="16"/>
      <c r="C21" s="14" t="s">
        <v>24</v>
      </c>
      <c r="D21" s="15" t="s">
        <v>15</v>
      </c>
      <c r="E21" s="17"/>
      <c r="F21" s="42">
        <v>45992</v>
      </c>
      <c r="G21" s="43">
        <v>45992</v>
      </c>
      <c r="H21" s="45">
        <f t="shared" si="1"/>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4.95" customHeight="1">
      <c r="A22" s="47"/>
      <c r="B22" s="56"/>
      <c r="C22" s="56" t="s">
        <v>25</v>
      </c>
      <c r="D22" s="57"/>
      <c r="E22" s="58"/>
      <c r="F22" s="59">
        <f>MIN(F23:F35)</f>
        <v>45981</v>
      </c>
      <c r="G22" s="60">
        <f>MAX(G23:G35)</f>
        <v>45999</v>
      </c>
      <c r="H22" s="76">
        <f t="shared" si="1"/>
        <v>19</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30" outlineLevel="1">
      <c r="A23" s="8"/>
      <c r="B23" s="2"/>
      <c r="C23" s="14" t="s">
        <v>26</v>
      </c>
      <c r="D23" s="3" t="s">
        <v>21</v>
      </c>
      <c r="E23" s="13" t="s">
        <v>27</v>
      </c>
      <c r="F23" s="40">
        <v>45981</v>
      </c>
      <c r="G23" s="40">
        <v>45981</v>
      </c>
      <c r="H23" s="46">
        <f t="shared" si="1"/>
        <v>1</v>
      </c>
      <c r="I23" s="78" t="s">
        <v>19</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4.95" customHeight="1" outlineLevel="1">
      <c r="A24" s="8"/>
      <c r="B24" s="2"/>
      <c r="C24" s="14" t="s">
        <v>28</v>
      </c>
      <c r="D24" s="3" t="s">
        <v>21</v>
      </c>
      <c r="E24" s="13" t="s">
        <v>29</v>
      </c>
      <c r="F24" s="40">
        <v>45982</v>
      </c>
      <c r="G24" s="40">
        <v>45982</v>
      </c>
      <c r="H24" s="46">
        <f t="shared" si="1"/>
        <v>1</v>
      </c>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4.95" customHeight="1" outlineLevel="1">
      <c r="A25" s="8"/>
      <c r="B25" s="2"/>
      <c r="C25" s="14" t="s">
        <v>30</v>
      </c>
      <c r="D25" s="3" t="s">
        <v>21</v>
      </c>
      <c r="E25" s="13" t="s">
        <v>31</v>
      </c>
      <c r="F25" s="40">
        <v>45984</v>
      </c>
      <c r="G25" s="40">
        <v>45984</v>
      </c>
      <c r="H25" s="46">
        <v>1</v>
      </c>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4.95" customHeight="1" outlineLevel="1">
      <c r="A26" s="8"/>
      <c r="B26" s="2"/>
      <c r="C26" s="14" t="s">
        <v>32</v>
      </c>
      <c r="D26" s="3" t="s">
        <v>21</v>
      </c>
      <c r="E26" s="13" t="s">
        <v>33</v>
      </c>
      <c r="F26" s="40">
        <v>45992</v>
      </c>
      <c r="G26" s="40">
        <v>45992</v>
      </c>
      <c r="H26" s="46">
        <v>1</v>
      </c>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4.95" customHeight="1" outlineLevel="1">
      <c r="A27" s="8"/>
      <c r="B27" s="2"/>
      <c r="C27" s="14" t="s">
        <v>34</v>
      </c>
      <c r="D27" s="3" t="s">
        <v>21</v>
      </c>
      <c r="E27" s="13" t="s">
        <v>35</v>
      </c>
      <c r="F27" s="40">
        <v>45992</v>
      </c>
      <c r="G27" s="40">
        <v>45992</v>
      </c>
      <c r="H27" s="46">
        <v>1</v>
      </c>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4.95" customHeight="1" outlineLevel="1">
      <c r="A28" s="8"/>
      <c r="B28" s="2"/>
      <c r="C28" s="14" t="s">
        <v>36</v>
      </c>
      <c r="D28" s="3" t="s">
        <v>21</v>
      </c>
      <c r="E28" s="13" t="s">
        <v>37</v>
      </c>
      <c r="F28" s="40">
        <v>45992</v>
      </c>
      <c r="G28" s="40">
        <v>45992</v>
      </c>
      <c r="H28" s="46">
        <v>1</v>
      </c>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4.95" customHeight="1" outlineLevel="1">
      <c r="A29" s="8"/>
      <c r="B29" s="2"/>
      <c r="C29" s="14" t="s">
        <v>38</v>
      </c>
      <c r="D29" s="3" t="s">
        <v>21</v>
      </c>
      <c r="E29" s="13" t="s">
        <v>39</v>
      </c>
      <c r="F29" s="40">
        <v>45992</v>
      </c>
      <c r="G29" s="40">
        <v>45992</v>
      </c>
      <c r="H29" s="46">
        <v>1</v>
      </c>
      <c r="I29" s="2" t="s">
        <v>40</v>
      </c>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4.95" customHeight="1" outlineLevel="1">
      <c r="A30" s="8"/>
      <c r="B30" s="2"/>
      <c r="C30" s="14" t="s">
        <v>41</v>
      </c>
      <c r="D30" s="3" t="s">
        <v>21</v>
      </c>
      <c r="E30" s="13" t="s">
        <v>42</v>
      </c>
      <c r="F30" s="40">
        <v>45992</v>
      </c>
      <c r="G30" s="40">
        <v>45992</v>
      </c>
      <c r="H30" s="46">
        <v>1</v>
      </c>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4.95" customHeight="1" outlineLevel="1">
      <c r="A31" s="8"/>
      <c r="B31" s="2"/>
      <c r="C31" s="14"/>
      <c r="D31" s="3"/>
      <c r="E31" s="13"/>
      <c r="F31" s="40"/>
      <c r="G31" s="40"/>
      <c r="H31" s="46"/>
      <c r="I31" s="2"/>
      <c r="J31" s="8"/>
      <c r="K31" s="1"/>
      <c r="L31" s="8"/>
      <c r="M31" s="8"/>
      <c r="N31" s="8"/>
      <c r="O31" s="8"/>
      <c r="P31" s="8"/>
      <c r="Q31" s="8"/>
      <c r="R31" s="8"/>
      <c r="S31" s="8"/>
      <c r="T31" s="8"/>
      <c r="U31" s="8"/>
      <c r="V31" s="8"/>
      <c r="W31" s="8" t="s">
        <v>43</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4.95" customHeight="1" outlineLevel="1">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4.95" customHeight="1" outlineLevel="1">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4.95" customHeight="1" outlineLevel="1">
      <c r="A34" s="8"/>
      <c r="B34" s="2"/>
      <c r="C34" s="14" t="s">
        <v>23</v>
      </c>
      <c r="D34" s="3" t="s">
        <v>21</v>
      </c>
      <c r="E34" s="13"/>
      <c r="F34" s="40">
        <v>45983</v>
      </c>
      <c r="G34" s="40">
        <v>45999</v>
      </c>
      <c r="H34" s="46">
        <f t="shared" si="1"/>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4.95" customHeight="1" outlineLevel="1" thickBot="1">
      <c r="A35" s="8"/>
      <c r="B35" s="2"/>
      <c r="C35" s="14" t="s">
        <v>24</v>
      </c>
      <c r="D35" s="15" t="s">
        <v>21</v>
      </c>
      <c r="E35" s="17"/>
      <c r="F35" s="42">
        <v>45992</v>
      </c>
      <c r="G35" s="43">
        <v>45992</v>
      </c>
      <c r="H35" s="46">
        <f t="shared" si="1"/>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4.95" customHeight="1">
      <c r="A36" s="47"/>
      <c r="B36" s="48"/>
      <c r="C36" s="48" t="s">
        <v>44</v>
      </c>
      <c r="D36" s="49"/>
      <c r="E36" s="50"/>
      <c r="F36" s="51">
        <f>MIN(F37:F64)</f>
        <v>45973</v>
      </c>
      <c r="G36" s="52">
        <f>MAX(G37:G64)</f>
        <v>45999</v>
      </c>
      <c r="H36" s="75">
        <f t="shared" si="1"/>
        <v>27</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44.25" outlineLevel="1">
      <c r="A37" s="8"/>
      <c r="B37" s="2"/>
      <c r="C37" s="14" t="s">
        <v>45</v>
      </c>
      <c r="D37" s="3" t="s">
        <v>21</v>
      </c>
      <c r="E37" s="12" t="s">
        <v>46</v>
      </c>
      <c r="F37" s="40">
        <v>45973</v>
      </c>
      <c r="G37" s="41">
        <v>45975</v>
      </c>
      <c r="H37" s="77">
        <f t="shared" si="1"/>
        <v>3</v>
      </c>
      <c r="I37" s="78" t="s">
        <v>19</v>
      </c>
      <c r="J37" s="8"/>
      <c r="K37" s="79" t="s">
        <v>47</v>
      </c>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4.95" customHeight="1" outlineLevel="1">
      <c r="A38" s="8"/>
      <c r="B38" s="2"/>
      <c r="C38" s="14" t="s">
        <v>48</v>
      </c>
      <c r="D38" s="3" t="s">
        <v>21</v>
      </c>
      <c r="E38" s="12" t="s">
        <v>49</v>
      </c>
      <c r="F38" s="40">
        <v>45984</v>
      </c>
      <c r="G38" s="40">
        <v>45987</v>
      </c>
      <c r="H38" s="77">
        <v>3</v>
      </c>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4.95" customHeight="1" outlineLevel="1">
      <c r="A39" s="8"/>
      <c r="B39" s="2"/>
      <c r="C39" s="14" t="s">
        <v>50</v>
      </c>
      <c r="D39" s="3" t="s">
        <v>21</v>
      </c>
      <c r="E39" s="12" t="s">
        <v>49</v>
      </c>
      <c r="F39" s="40">
        <v>45984</v>
      </c>
      <c r="G39" s="40">
        <v>45987</v>
      </c>
      <c r="H39" s="77">
        <v>3</v>
      </c>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4.95" customHeight="1" outlineLevel="1">
      <c r="A40" s="8"/>
      <c r="B40" s="2"/>
      <c r="C40" s="14" t="s">
        <v>51</v>
      </c>
      <c r="D40" s="3" t="s">
        <v>21</v>
      </c>
      <c r="E40" s="12" t="s">
        <v>49</v>
      </c>
      <c r="F40" s="40">
        <v>45984</v>
      </c>
      <c r="G40" s="40">
        <v>45987</v>
      </c>
      <c r="H40" s="77">
        <v>3</v>
      </c>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4.95" customHeight="1" outlineLevel="1">
      <c r="A41" s="8"/>
      <c r="B41" s="2"/>
      <c r="C41" s="14" t="s">
        <v>52</v>
      </c>
      <c r="D41" s="3" t="s">
        <v>21</v>
      </c>
      <c r="E41" s="12" t="s">
        <v>49</v>
      </c>
      <c r="F41" s="40">
        <v>45984</v>
      </c>
      <c r="G41" s="40">
        <v>45987</v>
      </c>
      <c r="H41" s="77">
        <v>3</v>
      </c>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4.95" customHeight="1" outlineLevel="1">
      <c r="A42" s="8"/>
      <c r="B42" s="2"/>
      <c r="C42" s="14" t="s">
        <v>53</v>
      </c>
      <c r="D42" s="3" t="s">
        <v>21</v>
      </c>
      <c r="E42" s="12" t="s">
        <v>49</v>
      </c>
      <c r="F42" s="40">
        <v>45984</v>
      </c>
      <c r="G42" s="40">
        <v>45987</v>
      </c>
      <c r="H42" s="77">
        <v>3</v>
      </c>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4.95" customHeight="1" outlineLevel="1">
      <c r="A43" s="8"/>
      <c r="B43" s="2"/>
      <c r="C43" s="14" t="s">
        <v>54</v>
      </c>
      <c r="D43" s="3" t="s">
        <v>21</v>
      </c>
      <c r="E43" s="12" t="s">
        <v>49</v>
      </c>
      <c r="F43" s="40">
        <v>45984</v>
      </c>
      <c r="G43" s="40">
        <v>45987</v>
      </c>
      <c r="H43" s="77">
        <v>3</v>
      </c>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4.95" customHeight="1" outlineLevel="1">
      <c r="A44" s="8"/>
      <c r="B44" s="2"/>
      <c r="C44" s="14" t="s">
        <v>55</v>
      </c>
      <c r="D44" s="3" t="s">
        <v>21</v>
      </c>
      <c r="E44" s="12" t="s">
        <v>49</v>
      </c>
      <c r="F44" s="40">
        <v>45984</v>
      </c>
      <c r="G44" s="40">
        <v>45987</v>
      </c>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4.95" customHeight="1" outlineLevel="1">
      <c r="A45" s="8"/>
      <c r="B45" s="2"/>
      <c r="C45" s="14" t="s">
        <v>56</v>
      </c>
      <c r="D45" s="3" t="s">
        <v>21</v>
      </c>
      <c r="E45" s="12" t="s">
        <v>49</v>
      </c>
      <c r="F45" s="40">
        <v>45984</v>
      </c>
      <c r="G45" s="40">
        <v>45987</v>
      </c>
      <c r="H45" s="77">
        <v>3</v>
      </c>
      <c r="I45" s="2"/>
      <c r="J45" s="8"/>
      <c r="K45" s="1"/>
      <c r="L45" s="8"/>
      <c r="M45" s="8"/>
      <c r="N45" s="8"/>
      <c r="O45" s="8"/>
      <c r="P45" s="8"/>
      <c r="Q45" s="8"/>
      <c r="R45" s="8"/>
      <c r="S45" s="8"/>
      <c r="T45" s="8"/>
      <c r="U45" s="8"/>
      <c r="V45" s="8"/>
      <c r="W45" s="8" t="s">
        <v>57</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4.95" customHeight="1" outlineLevel="1">
      <c r="A46" s="8"/>
      <c r="B46" s="2"/>
      <c r="C46" s="14" t="s">
        <v>58</v>
      </c>
      <c r="D46" s="3" t="s">
        <v>21</v>
      </c>
      <c r="E46" s="12" t="s">
        <v>59</v>
      </c>
      <c r="F46" s="40">
        <v>45984</v>
      </c>
      <c r="G46" s="40">
        <v>45987</v>
      </c>
      <c r="H46" s="77">
        <v>3</v>
      </c>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4.95" customHeight="1" outlineLevel="1">
      <c r="A47" s="8"/>
      <c r="B47" s="2"/>
      <c r="C47" s="14" t="s">
        <v>60</v>
      </c>
      <c r="D47" s="3" t="s">
        <v>21</v>
      </c>
      <c r="E47" s="12" t="s">
        <v>61</v>
      </c>
      <c r="F47" s="40">
        <v>45990</v>
      </c>
      <c r="G47" s="40">
        <v>45990</v>
      </c>
      <c r="H47" s="77">
        <v>1</v>
      </c>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4.95" customHeight="1" outlineLevel="1">
      <c r="A48" s="8"/>
      <c r="B48" s="2"/>
      <c r="C48" s="14" t="s">
        <v>62</v>
      </c>
      <c r="D48" s="3" t="s">
        <v>21</v>
      </c>
      <c r="E48" s="12" t="s">
        <v>63</v>
      </c>
      <c r="F48" s="40">
        <v>45990</v>
      </c>
      <c r="G48" s="40">
        <v>45990</v>
      </c>
      <c r="H48" s="77">
        <v>1</v>
      </c>
      <c r="I48" s="2"/>
      <c r="J48" s="8"/>
      <c r="K48" s="54"/>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4.95" customHeight="1" outlineLevel="1">
      <c r="A49" s="8"/>
      <c r="B49" s="2"/>
      <c r="C49" s="14" t="s">
        <v>64</v>
      </c>
      <c r="D49" s="3" t="s">
        <v>21</v>
      </c>
      <c r="E49" s="12" t="s">
        <v>63</v>
      </c>
      <c r="F49" s="40">
        <v>45990</v>
      </c>
      <c r="G49" s="40">
        <v>45990</v>
      </c>
      <c r="H49" s="77">
        <v>1</v>
      </c>
      <c r="I49" s="2"/>
      <c r="J49" s="8"/>
      <c r="K49" s="54"/>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9" customFormat="1" ht="24.95" customHeight="1" outlineLevel="1">
      <c r="A50" s="8"/>
      <c r="B50" s="2"/>
      <c r="C50" s="14" t="s">
        <v>65</v>
      </c>
      <c r="D50" s="3" t="s">
        <v>21</v>
      </c>
      <c r="E50" s="12" t="s">
        <v>66</v>
      </c>
      <c r="F50" s="40">
        <v>45990</v>
      </c>
      <c r="G50" s="40">
        <v>45990</v>
      </c>
      <c r="H50" s="77">
        <v>1</v>
      </c>
      <c r="I50" s="2"/>
      <c r="J50" s="8"/>
      <c r="K50" s="54"/>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row>
    <row r="51" spans="1:258" s="9" customFormat="1" ht="24.95" customHeight="1" outlineLevel="1">
      <c r="A51" s="8"/>
      <c r="B51" s="2"/>
      <c r="C51" s="14" t="s">
        <v>67</v>
      </c>
      <c r="D51" s="3" t="s">
        <v>21</v>
      </c>
      <c r="E51" s="12" t="s">
        <v>66</v>
      </c>
      <c r="F51" s="40">
        <v>45990</v>
      </c>
      <c r="G51" s="40">
        <v>45990</v>
      </c>
      <c r="H51" s="77">
        <v>1</v>
      </c>
      <c r="I51" s="2"/>
      <c r="J51" s="8"/>
      <c r="K51" s="54"/>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4.95" customHeight="1" outlineLevel="1">
      <c r="A52" s="8"/>
      <c r="B52" s="2"/>
      <c r="C52" s="14" t="s">
        <v>68</v>
      </c>
      <c r="D52" s="3" t="s">
        <v>21</v>
      </c>
      <c r="E52" s="12" t="s">
        <v>69</v>
      </c>
      <c r="F52" s="40">
        <v>45990</v>
      </c>
      <c r="G52" s="40">
        <v>45990</v>
      </c>
      <c r="H52" s="77">
        <v>1</v>
      </c>
      <c r="I52" s="2"/>
      <c r="J52" s="8"/>
      <c r="K52" s="54"/>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4.95" customHeight="1" outlineLevel="1">
      <c r="A53" s="8"/>
      <c r="B53" s="2"/>
      <c r="C53" s="14" t="s">
        <v>70</v>
      </c>
      <c r="D53" s="3" t="s">
        <v>21</v>
      </c>
      <c r="E53" s="12" t="s">
        <v>71</v>
      </c>
      <c r="F53" s="40">
        <v>45990</v>
      </c>
      <c r="G53" s="40">
        <v>45991</v>
      </c>
      <c r="H53" s="77">
        <v>2</v>
      </c>
      <c r="I53" s="2"/>
      <c r="J53" s="8"/>
      <c r="K53" s="54"/>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4.95" customHeight="1" outlineLevel="1">
      <c r="A54" s="8"/>
      <c r="B54" s="2"/>
      <c r="C54" s="14" t="s">
        <v>72</v>
      </c>
      <c r="D54" s="3" t="s">
        <v>21</v>
      </c>
      <c r="E54" s="12" t="s">
        <v>73</v>
      </c>
      <c r="F54" s="40">
        <v>45990</v>
      </c>
      <c r="G54" s="40">
        <v>45991</v>
      </c>
      <c r="H54" s="77">
        <v>2</v>
      </c>
      <c r="I54" s="2"/>
      <c r="J54" s="8"/>
      <c r="K54" s="54"/>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4.95" customHeight="1" outlineLevel="1">
      <c r="A55" s="8"/>
      <c r="B55" s="2"/>
      <c r="C55" s="14" t="s">
        <v>74</v>
      </c>
      <c r="D55" s="3" t="s">
        <v>21</v>
      </c>
      <c r="E55" s="12" t="s">
        <v>75</v>
      </c>
      <c r="F55" s="40">
        <v>45990</v>
      </c>
      <c r="G55" s="40">
        <v>45991</v>
      </c>
      <c r="H55" s="77">
        <v>2</v>
      </c>
      <c r="I55" s="2"/>
      <c r="J55" s="8"/>
      <c r="K55" s="54"/>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4.95" customHeight="1" outlineLevel="1">
      <c r="A56" s="8"/>
      <c r="B56" s="2"/>
      <c r="C56" s="14" t="s">
        <v>76</v>
      </c>
      <c r="D56" s="3" t="s">
        <v>21</v>
      </c>
      <c r="E56" s="12" t="s">
        <v>77</v>
      </c>
      <c r="F56" s="40">
        <v>45990</v>
      </c>
      <c r="G56" s="40">
        <v>45991</v>
      </c>
      <c r="H56" s="77">
        <v>2</v>
      </c>
      <c r="I56" s="2"/>
      <c r="J56" s="8"/>
      <c r="K56" s="54"/>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4.95" customHeight="1" outlineLevel="1">
      <c r="A57" s="8"/>
      <c r="B57" s="2"/>
      <c r="C57" s="14" t="s">
        <v>78</v>
      </c>
      <c r="D57" s="3" t="s">
        <v>21</v>
      </c>
      <c r="E57" s="12" t="s">
        <v>77</v>
      </c>
      <c r="F57" s="40">
        <v>45990</v>
      </c>
      <c r="G57" s="40">
        <v>45991</v>
      </c>
      <c r="H57" s="77">
        <v>2</v>
      </c>
      <c r="I57" s="2"/>
      <c r="J57" s="8"/>
      <c r="K57" s="54"/>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4.95" customHeight="1" outlineLevel="1">
      <c r="A58" s="8"/>
      <c r="B58" s="2"/>
      <c r="C58" s="14" t="s">
        <v>79</v>
      </c>
      <c r="D58" s="3" t="s">
        <v>21</v>
      </c>
      <c r="E58" s="12" t="s">
        <v>80</v>
      </c>
      <c r="F58" s="40">
        <v>45990</v>
      </c>
      <c r="G58" s="40">
        <v>45991</v>
      </c>
      <c r="H58" s="77">
        <v>2</v>
      </c>
      <c r="I58" s="2"/>
      <c r="J58" s="8"/>
      <c r="K58" s="54"/>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4.95" customHeight="1" outlineLevel="1">
      <c r="A59" s="8"/>
      <c r="B59" s="2"/>
      <c r="C59" s="14" t="s">
        <v>81</v>
      </c>
      <c r="D59" s="3" t="s">
        <v>21</v>
      </c>
      <c r="E59" s="12" t="s">
        <v>82</v>
      </c>
      <c r="F59" s="40">
        <v>45990</v>
      </c>
      <c r="G59" s="40">
        <v>45991</v>
      </c>
      <c r="H59" s="77">
        <v>2</v>
      </c>
      <c r="I59" s="2"/>
      <c r="J59" s="8"/>
      <c r="K59" s="54"/>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4.95" customHeight="1" outlineLevel="1">
      <c r="A60" s="8"/>
      <c r="B60" s="2"/>
      <c r="C60" s="14" t="s">
        <v>83</v>
      </c>
      <c r="D60" s="3" t="s">
        <v>21</v>
      </c>
      <c r="E60" s="12" t="s">
        <v>84</v>
      </c>
      <c r="F60" s="40">
        <v>45990</v>
      </c>
      <c r="G60" s="40">
        <v>45991</v>
      </c>
      <c r="H60" s="77">
        <v>2</v>
      </c>
      <c r="I60" s="2"/>
      <c r="J60" s="8"/>
      <c r="K60" s="54"/>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4.95" customHeight="1" outlineLevel="1">
      <c r="A61" s="8"/>
      <c r="B61" s="2"/>
      <c r="C61" s="14" t="s">
        <v>85</v>
      </c>
      <c r="D61" s="3" t="s">
        <v>21</v>
      </c>
      <c r="E61" s="12" t="s">
        <v>86</v>
      </c>
      <c r="F61" s="40">
        <v>45990</v>
      </c>
      <c r="G61" s="40">
        <v>45991</v>
      </c>
      <c r="H61" s="77">
        <v>2</v>
      </c>
      <c r="I61" s="2"/>
      <c r="J61" s="8"/>
      <c r="K61" s="54"/>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4.95" customHeight="1" outlineLevel="1">
      <c r="A62" s="8"/>
      <c r="B62" s="2"/>
      <c r="C62" s="14" t="s">
        <v>87</v>
      </c>
      <c r="D62" s="3" t="s">
        <v>21</v>
      </c>
      <c r="E62" s="12" t="s">
        <v>88</v>
      </c>
      <c r="F62" s="40">
        <v>45990</v>
      </c>
      <c r="G62" s="40">
        <v>45991</v>
      </c>
      <c r="H62" s="77">
        <v>2</v>
      </c>
      <c r="I62" s="2"/>
      <c r="J62" s="8"/>
      <c r="K62" s="54"/>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4.95" customHeight="1" outlineLevel="1">
      <c r="A63" s="8"/>
      <c r="B63" s="2"/>
      <c r="C63" s="14" t="s">
        <v>23</v>
      </c>
      <c r="D63" s="3" t="s">
        <v>15</v>
      </c>
      <c r="E63" s="13"/>
      <c r="F63" s="40">
        <v>45983</v>
      </c>
      <c r="G63" s="40">
        <v>45999</v>
      </c>
      <c r="H63" s="77"/>
      <c r="I63" s="2"/>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s="9" customFormat="1" ht="24.95" customHeight="1" outlineLevel="1" thickBot="1">
      <c r="A64" s="8"/>
      <c r="B64" s="16"/>
      <c r="C64" s="14" t="s">
        <v>24</v>
      </c>
      <c r="D64" s="15" t="s">
        <v>15</v>
      </c>
      <c r="E64" s="17"/>
      <c r="F64" s="42">
        <v>45992</v>
      </c>
      <c r="G64" s="43">
        <v>45992</v>
      </c>
      <c r="H64" s="77">
        <f t="shared" si="1"/>
        <v>1</v>
      </c>
      <c r="I64" s="16"/>
      <c r="J64" s="8"/>
      <c r="K64" s="1"/>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c r="IW64" s="8"/>
      <c r="IX64" s="8"/>
    </row>
    <row r="65" spans="1:258" s="55" customFormat="1" ht="24.95" customHeight="1">
      <c r="A65" s="47"/>
      <c r="B65" s="68"/>
      <c r="C65" s="68" t="s">
        <v>89</v>
      </c>
      <c r="D65" s="69"/>
      <c r="E65" s="70"/>
      <c r="F65" s="71">
        <f>MIN(F66:F78)</f>
        <v>0</v>
      </c>
      <c r="G65" s="72">
        <f>MAX(G66:G78)</f>
        <v>0</v>
      </c>
      <c r="H65" s="74">
        <f t="shared" si="1"/>
        <v>0</v>
      </c>
      <c r="I65" s="73"/>
      <c r="J65" s="47"/>
      <c r="K65" s="1"/>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c r="DA65" s="47"/>
      <c r="DB65" s="47"/>
      <c r="DC65" s="47"/>
      <c r="DD65" s="47"/>
      <c r="DE65" s="47"/>
      <c r="DF65" s="47"/>
      <c r="DG65" s="47"/>
      <c r="DH65" s="47"/>
      <c r="DI65" s="47"/>
      <c r="DJ65" s="47"/>
      <c r="DK65" s="47"/>
      <c r="DL65" s="47"/>
      <c r="DM65" s="47"/>
      <c r="DN65" s="47"/>
      <c r="DO65" s="47"/>
      <c r="DP65" s="47"/>
      <c r="DQ65" s="47"/>
      <c r="DR65" s="47"/>
      <c r="DS65" s="47"/>
      <c r="DT65" s="47"/>
      <c r="DU65" s="47"/>
      <c r="DV65" s="47"/>
      <c r="DW65" s="47"/>
      <c r="DX65" s="47"/>
      <c r="DY65" s="47"/>
      <c r="DZ65" s="47"/>
      <c r="EA65" s="47"/>
      <c r="EB65" s="47"/>
      <c r="EC65" s="47"/>
      <c r="ED65" s="47"/>
      <c r="EE65" s="47"/>
      <c r="EF65" s="47"/>
      <c r="EG65" s="47"/>
      <c r="EH65" s="47"/>
      <c r="EI65" s="47"/>
      <c r="EJ65" s="47"/>
      <c r="EK65" s="47"/>
      <c r="EL65" s="47"/>
      <c r="EM65" s="47"/>
      <c r="EN65" s="47"/>
      <c r="EO65" s="47"/>
      <c r="EP65" s="47"/>
      <c r="EQ65" s="47"/>
      <c r="ER65" s="47"/>
      <c r="ES65" s="47"/>
      <c r="ET65" s="47"/>
      <c r="EU65" s="47"/>
      <c r="EV65" s="47"/>
      <c r="EW65" s="47"/>
      <c r="EX65" s="47"/>
      <c r="EY65" s="47"/>
      <c r="EZ65" s="47"/>
      <c r="FA65" s="47"/>
      <c r="FB65" s="47"/>
      <c r="FC65" s="47"/>
      <c r="FD65" s="47"/>
      <c r="FE65" s="47"/>
      <c r="FF65" s="47"/>
      <c r="FG65" s="47"/>
      <c r="FH65" s="47"/>
      <c r="FI65" s="47"/>
      <c r="FJ65" s="47"/>
      <c r="FK65" s="47"/>
      <c r="FL65" s="47"/>
      <c r="FM65" s="47"/>
      <c r="FN65" s="47"/>
      <c r="FO65" s="47"/>
      <c r="FP65" s="47"/>
      <c r="FQ65" s="47"/>
      <c r="FR65" s="47"/>
      <c r="FS65" s="47"/>
      <c r="FT65" s="47"/>
      <c r="FU65" s="47"/>
      <c r="FV65" s="47"/>
      <c r="FW65" s="47"/>
      <c r="FX65" s="47"/>
      <c r="FY65" s="47"/>
      <c r="FZ65" s="47"/>
      <c r="GA65" s="47"/>
      <c r="GB65" s="47"/>
      <c r="GC65" s="47"/>
      <c r="GD65" s="47"/>
      <c r="GE65" s="47"/>
      <c r="GF65" s="47"/>
      <c r="GG65" s="47"/>
      <c r="GH65" s="47"/>
      <c r="GI65" s="47"/>
      <c r="GJ65" s="47"/>
      <c r="GK65" s="47"/>
      <c r="GL65" s="47"/>
      <c r="GM65" s="47"/>
      <c r="GN65" s="47"/>
      <c r="GO65" s="47"/>
      <c r="GP65" s="47"/>
      <c r="GQ65" s="47"/>
      <c r="GR65" s="47"/>
      <c r="GS65" s="47"/>
      <c r="GT65" s="47"/>
      <c r="GU65" s="47"/>
      <c r="GV65" s="47"/>
      <c r="GW65" s="47"/>
      <c r="GX65" s="47"/>
      <c r="GY65" s="47"/>
      <c r="GZ65" s="47"/>
      <c r="HA65" s="47"/>
      <c r="HB65" s="47"/>
      <c r="HC65" s="47"/>
      <c r="HD65" s="47"/>
      <c r="HE65" s="47"/>
      <c r="HF65" s="47"/>
      <c r="HG65" s="47"/>
      <c r="HH65" s="47"/>
      <c r="HI65" s="47"/>
      <c r="HJ65" s="47"/>
      <c r="HK65" s="47"/>
      <c r="HL65" s="47"/>
      <c r="HM65" s="47"/>
      <c r="HN65" s="47"/>
      <c r="HO65" s="47"/>
      <c r="HP65" s="47"/>
      <c r="HQ65" s="47"/>
      <c r="HR65" s="47"/>
      <c r="HS65" s="47"/>
      <c r="HT65" s="47"/>
      <c r="HU65" s="47"/>
      <c r="HV65" s="47"/>
      <c r="HW65" s="47"/>
      <c r="HX65" s="47"/>
      <c r="HY65" s="47"/>
      <c r="HZ65" s="47"/>
      <c r="IA65" s="47"/>
      <c r="IB65" s="47"/>
      <c r="IC65" s="47"/>
      <c r="ID65" s="47"/>
      <c r="IE65" s="47"/>
      <c r="IF65" s="47"/>
      <c r="IG65" s="47"/>
      <c r="IH65" s="47"/>
      <c r="II65" s="47"/>
      <c r="IJ65" s="47"/>
      <c r="IK65" s="47"/>
      <c r="IL65" s="47"/>
      <c r="IM65" s="47"/>
      <c r="IN65" s="47"/>
      <c r="IO65" s="47"/>
      <c r="IP65" s="47"/>
      <c r="IQ65" s="47"/>
      <c r="IR65" s="47"/>
      <c r="IS65" s="47"/>
      <c r="IT65" s="47"/>
      <c r="IU65" s="47"/>
      <c r="IV65" s="47"/>
      <c r="IW65" s="47"/>
      <c r="IX65" s="47"/>
    </row>
    <row r="66" spans="1:258" s="9" customFormat="1" ht="14.1" outlineLevel="1">
      <c r="A66" s="8"/>
      <c r="B66" s="2"/>
      <c r="C66" s="14"/>
      <c r="D66" s="3"/>
      <c r="E66" s="13"/>
      <c r="F66" s="40"/>
      <c r="G66" s="40"/>
      <c r="H66" s="33"/>
      <c r="I66" s="2"/>
      <c r="J66" s="8"/>
      <c r="K66" s="1"/>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c r="IO66" s="8"/>
      <c r="IP66" s="8"/>
      <c r="IQ66" s="8"/>
      <c r="IR66" s="8"/>
      <c r="IS66" s="8"/>
      <c r="IT66" s="8"/>
      <c r="IU66" s="8"/>
      <c r="IV66" s="8"/>
      <c r="IW66" s="8"/>
      <c r="IX66" s="8"/>
    </row>
    <row r="67" spans="1:258" s="9" customFormat="1" ht="24.95" customHeight="1" outlineLevel="1">
      <c r="A67" s="8"/>
      <c r="B67" s="2"/>
      <c r="C67" s="14"/>
      <c r="D67" s="3"/>
      <c r="E67" s="13"/>
      <c r="F67" s="40"/>
      <c r="G67" s="40"/>
      <c r="H67" s="33"/>
      <c r="I67" s="2"/>
      <c r="J67" s="8"/>
      <c r="K67" s="1"/>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c r="IW67" s="8"/>
      <c r="IX67" s="8"/>
    </row>
    <row r="68" spans="1:258" s="9" customFormat="1" ht="24.95" customHeight="1" outlineLevel="1">
      <c r="A68" s="8"/>
      <c r="B68" s="2"/>
      <c r="C68" s="14"/>
      <c r="D68" s="3"/>
      <c r="E68" s="13"/>
      <c r="F68" s="40"/>
      <c r="G68" s="40"/>
      <c r="H68" s="33"/>
      <c r="I68" s="2"/>
      <c r="J68" s="8"/>
      <c r="K68" s="1"/>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row>
    <row r="69" spans="1:258" s="9" customFormat="1" ht="24.95" customHeight="1" outlineLevel="1">
      <c r="A69" s="8"/>
      <c r="B69" s="2"/>
      <c r="C69" s="14"/>
      <c r="D69" s="3"/>
      <c r="E69" s="13"/>
      <c r="F69" s="40"/>
      <c r="G69" s="40"/>
      <c r="H69" s="33"/>
      <c r="I69" s="2"/>
      <c r="J69" s="8"/>
      <c r="K69" s="1"/>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row>
    <row r="70" spans="1:258" s="9" customFormat="1" ht="24.95" customHeight="1" outlineLevel="1">
      <c r="A70" s="8"/>
      <c r="B70" s="2"/>
      <c r="C70" s="14"/>
      <c r="D70" s="3"/>
      <c r="E70" s="13"/>
      <c r="F70" s="40"/>
      <c r="G70" s="40"/>
      <c r="H70" s="33"/>
      <c r="I70" s="2"/>
      <c r="J70" s="8"/>
      <c r="K70" s="1"/>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8"/>
      <c r="HO70" s="8"/>
      <c r="HP70" s="8"/>
      <c r="HQ70" s="8"/>
      <c r="HR70" s="8"/>
      <c r="HS70" s="8"/>
      <c r="HT70" s="8"/>
      <c r="HU70" s="8"/>
      <c r="HV70" s="8"/>
      <c r="HW70" s="8"/>
      <c r="HX70" s="8"/>
      <c r="HY70" s="8"/>
      <c r="HZ70" s="8"/>
      <c r="IA70" s="8"/>
      <c r="IB70" s="8"/>
      <c r="IC70" s="8"/>
      <c r="ID70" s="8"/>
      <c r="IE70" s="8"/>
      <c r="IF70" s="8"/>
      <c r="IG70" s="8"/>
      <c r="IH70" s="8"/>
      <c r="II70" s="8"/>
      <c r="IJ70" s="8"/>
      <c r="IK70" s="8"/>
      <c r="IL70" s="8"/>
      <c r="IM70" s="8"/>
      <c r="IN70" s="8"/>
      <c r="IO70" s="8"/>
      <c r="IP70" s="8"/>
      <c r="IQ70" s="8"/>
      <c r="IR70" s="8"/>
      <c r="IS70" s="8"/>
      <c r="IT70" s="8"/>
      <c r="IU70" s="8"/>
      <c r="IV70" s="8"/>
      <c r="IW70" s="8"/>
      <c r="IX70" s="8"/>
    </row>
    <row r="71" spans="1:258" s="9" customFormat="1" ht="24.95" customHeight="1" outlineLevel="1">
      <c r="A71" s="8"/>
      <c r="B71" s="2"/>
      <c r="C71" s="14"/>
      <c r="D71" s="3"/>
      <c r="E71" s="13"/>
      <c r="F71" s="40"/>
      <c r="G71" s="40"/>
      <c r="H71" s="33"/>
      <c r="I71" s="2"/>
      <c r="J71" s="8"/>
      <c r="K71" s="1"/>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row>
    <row r="72" spans="1:258" s="9" customFormat="1" ht="24.95" customHeight="1" outlineLevel="1">
      <c r="A72" s="8"/>
      <c r="B72" s="2"/>
      <c r="C72" s="14"/>
      <c r="D72" s="3"/>
      <c r="E72" s="13"/>
      <c r="F72" s="40"/>
      <c r="G72" s="40"/>
      <c r="H72" s="33"/>
      <c r="I72" s="2"/>
      <c r="J72" s="8"/>
      <c r="K72" s="1"/>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row>
    <row r="73" spans="1:258" s="9" customFormat="1" ht="24.95" customHeight="1" outlineLevel="1">
      <c r="A73" s="8"/>
      <c r="B73" s="2"/>
      <c r="C73" s="14"/>
      <c r="D73" s="3"/>
      <c r="E73" s="13"/>
      <c r="F73" s="40"/>
      <c r="G73" s="40"/>
      <c r="H73" s="33"/>
      <c r="I73" s="2"/>
      <c r="J73" s="8"/>
      <c r="K73" s="1"/>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c r="FT73" s="8"/>
      <c r="FU73" s="8"/>
      <c r="FV73" s="8"/>
      <c r="FW73" s="8"/>
      <c r="FX73" s="8"/>
      <c r="FY73" s="8"/>
      <c r="FZ73" s="8"/>
      <c r="GA73" s="8"/>
      <c r="GB73" s="8"/>
      <c r="GC73" s="8"/>
      <c r="GD73" s="8"/>
      <c r="GE73" s="8"/>
      <c r="GF73" s="8"/>
      <c r="GG73" s="8"/>
      <c r="GH73" s="8"/>
      <c r="GI73" s="8"/>
      <c r="GJ73" s="8"/>
      <c r="GK73" s="8"/>
      <c r="GL73" s="8"/>
      <c r="GM73" s="8"/>
      <c r="GN73" s="8"/>
      <c r="GO73" s="8"/>
      <c r="GP73" s="8"/>
      <c r="GQ73" s="8"/>
      <c r="GR73" s="8"/>
      <c r="GS73" s="8"/>
      <c r="GT73" s="8"/>
      <c r="GU73" s="8"/>
      <c r="GV73" s="8"/>
      <c r="GW73" s="8"/>
      <c r="GX73" s="8"/>
      <c r="GY73" s="8"/>
      <c r="GZ73" s="8"/>
      <c r="HA73" s="8"/>
      <c r="HB73" s="8"/>
      <c r="HC73" s="8"/>
      <c r="HD73" s="8"/>
      <c r="HE73" s="8"/>
      <c r="HF73" s="8"/>
      <c r="HG73" s="8"/>
      <c r="HH73" s="8"/>
      <c r="HI73" s="8"/>
      <c r="HJ73" s="8"/>
      <c r="HK73" s="8"/>
      <c r="HL73" s="8"/>
      <c r="HM73" s="8"/>
      <c r="HN73" s="8"/>
      <c r="HO73" s="8"/>
      <c r="HP73" s="8"/>
      <c r="HQ73" s="8"/>
      <c r="HR73" s="8"/>
      <c r="HS73" s="8"/>
      <c r="HT73" s="8"/>
      <c r="HU73" s="8"/>
      <c r="HV73" s="8"/>
      <c r="HW73" s="8"/>
      <c r="HX73" s="8"/>
      <c r="HY73" s="8"/>
      <c r="HZ73" s="8"/>
      <c r="IA73" s="8"/>
      <c r="IB73" s="8"/>
      <c r="IC73" s="8"/>
      <c r="ID73" s="8"/>
      <c r="IE73" s="8"/>
      <c r="IF73" s="8"/>
      <c r="IG73" s="8"/>
      <c r="IH73" s="8"/>
      <c r="II73" s="8"/>
      <c r="IJ73" s="8"/>
      <c r="IK73" s="8"/>
      <c r="IL73" s="8"/>
      <c r="IM73" s="8"/>
      <c r="IN73" s="8"/>
      <c r="IO73" s="8"/>
      <c r="IP73" s="8"/>
      <c r="IQ73" s="8"/>
      <c r="IR73" s="8"/>
      <c r="IS73" s="8"/>
      <c r="IT73" s="8"/>
      <c r="IU73" s="8"/>
      <c r="IV73" s="8"/>
      <c r="IW73" s="8"/>
      <c r="IX73" s="8"/>
    </row>
    <row r="74" spans="1:258" s="9" customFormat="1" ht="24.95" customHeight="1" outlineLevel="1">
      <c r="A74" s="8"/>
      <c r="B74" s="2"/>
      <c r="C74" s="14"/>
      <c r="D74" s="3"/>
      <c r="E74" s="13"/>
      <c r="F74" s="40"/>
      <c r="G74" s="40"/>
      <c r="H74" s="33"/>
      <c r="I74" s="2"/>
      <c r="J74" s="8"/>
      <c r="K74" s="1"/>
      <c r="L74" s="8"/>
      <c r="M74" s="8"/>
      <c r="N74" s="8"/>
      <c r="O74" s="8"/>
      <c r="P74" s="8"/>
      <c r="Q74" s="8"/>
      <c r="R74" s="8"/>
      <c r="S74" s="8"/>
      <c r="T74" s="8"/>
      <c r="U74" s="8"/>
      <c r="V74" s="8"/>
      <c r="W74" s="44"/>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row>
    <row r="75" spans="1:258" s="9" customFormat="1" ht="24.95" customHeight="1" outlineLevel="1">
      <c r="A75" s="8"/>
      <c r="B75" s="2"/>
      <c r="C75" s="14"/>
      <c r="D75" s="3"/>
      <c r="E75" s="13"/>
      <c r="F75" s="40"/>
      <c r="G75" s="40"/>
      <c r="H75" s="33"/>
      <c r="I75" s="2"/>
      <c r="J75" s="8"/>
      <c r="K75" s="1"/>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row>
    <row r="76" spans="1:258" s="9" customFormat="1" ht="24.95" customHeight="1" outlineLevel="1">
      <c r="A76" s="8"/>
      <c r="B76" s="2"/>
      <c r="C76" s="14"/>
      <c r="D76" s="3"/>
      <c r="E76" s="13"/>
      <c r="F76" s="40"/>
      <c r="G76" s="40"/>
      <c r="H76" s="33"/>
      <c r="I76" s="2"/>
      <c r="J76" s="8"/>
      <c r="K76" s="1"/>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c r="EY76" s="8"/>
      <c r="EZ76" s="8"/>
      <c r="FA76" s="8"/>
      <c r="FB76" s="8"/>
      <c r="FC76" s="8"/>
      <c r="FD76" s="8"/>
      <c r="FE76" s="8"/>
      <c r="FF76" s="8"/>
      <c r="FG76" s="8"/>
      <c r="FH76" s="8"/>
      <c r="FI76" s="8"/>
      <c r="FJ76" s="8"/>
      <c r="FK76" s="8"/>
      <c r="FL76" s="8"/>
      <c r="FM76" s="8"/>
      <c r="FN76" s="8"/>
      <c r="FO76" s="8"/>
      <c r="FP76" s="8"/>
      <c r="FQ76" s="8"/>
      <c r="FR76" s="8"/>
      <c r="FS76" s="8"/>
      <c r="FT76" s="8"/>
      <c r="FU76" s="8"/>
      <c r="FV76" s="8"/>
      <c r="FW76" s="8"/>
      <c r="FX76" s="8"/>
      <c r="FY76" s="8"/>
      <c r="FZ76" s="8"/>
      <c r="GA76" s="8"/>
      <c r="GB76" s="8"/>
      <c r="GC76" s="8"/>
      <c r="GD76" s="8"/>
      <c r="GE76" s="8"/>
      <c r="GF76" s="8"/>
      <c r="GG76" s="8"/>
      <c r="GH76" s="8"/>
      <c r="GI76" s="8"/>
      <c r="GJ76" s="8"/>
      <c r="GK76" s="8"/>
      <c r="GL76" s="8"/>
      <c r="GM76" s="8"/>
      <c r="GN76" s="8"/>
      <c r="GO76" s="8"/>
      <c r="GP76" s="8"/>
      <c r="GQ76" s="8"/>
      <c r="GR76" s="8"/>
      <c r="GS76" s="8"/>
      <c r="GT76" s="8"/>
      <c r="GU76" s="8"/>
      <c r="GV76" s="8"/>
      <c r="GW76" s="8"/>
      <c r="GX76" s="8"/>
      <c r="GY76" s="8"/>
      <c r="GZ76" s="8"/>
      <c r="HA76" s="8"/>
      <c r="HB76" s="8"/>
      <c r="HC76" s="8"/>
      <c r="HD76" s="8"/>
      <c r="HE76" s="8"/>
      <c r="HF76" s="8"/>
      <c r="HG76" s="8"/>
      <c r="HH76" s="8"/>
      <c r="HI76" s="8"/>
      <c r="HJ76" s="8"/>
      <c r="HK76" s="8"/>
      <c r="HL76" s="8"/>
      <c r="HM76" s="8"/>
      <c r="HN76" s="8"/>
      <c r="HO76" s="8"/>
      <c r="HP76" s="8"/>
      <c r="HQ76" s="8"/>
      <c r="HR76" s="8"/>
      <c r="HS76" s="8"/>
      <c r="HT76" s="8"/>
      <c r="HU76" s="8"/>
      <c r="HV76" s="8"/>
      <c r="HW76" s="8"/>
      <c r="HX76" s="8"/>
      <c r="HY76" s="8"/>
      <c r="HZ76" s="8"/>
      <c r="IA76" s="8"/>
      <c r="IB76" s="8"/>
      <c r="IC76" s="8"/>
      <c r="ID76" s="8"/>
      <c r="IE76" s="8"/>
      <c r="IF76" s="8"/>
      <c r="IG76" s="8"/>
      <c r="IH76" s="8"/>
      <c r="II76" s="8"/>
      <c r="IJ76" s="8"/>
      <c r="IK76" s="8"/>
      <c r="IL76" s="8"/>
      <c r="IM76" s="8"/>
      <c r="IN76" s="8"/>
      <c r="IO76" s="8"/>
      <c r="IP76" s="8"/>
      <c r="IQ76" s="8"/>
      <c r="IR76" s="8"/>
      <c r="IS76" s="8"/>
      <c r="IT76" s="8"/>
      <c r="IU76" s="8"/>
      <c r="IV76" s="8"/>
      <c r="IW76" s="8"/>
      <c r="IX76" s="8"/>
    </row>
    <row r="77" spans="1:258" s="9" customFormat="1" ht="24.95" customHeight="1" outlineLevel="1">
      <c r="A77" s="8"/>
      <c r="B77" s="2"/>
      <c r="C77" s="14"/>
      <c r="D77" s="3"/>
      <c r="E77" s="13"/>
      <c r="F77" s="40"/>
      <c r="G77" s="40"/>
      <c r="H77" s="33"/>
      <c r="I77" s="2"/>
      <c r="J77" s="8"/>
      <c r="K77" s="1"/>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row>
    <row r="78" spans="1:258" s="9" customFormat="1" ht="24.95" customHeight="1" outlineLevel="1" thickBot="1">
      <c r="A78" s="8"/>
      <c r="B78" s="16"/>
      <c r="C78" s="14"/>
      <c r="D78" s="15"/>
      <c r="E78" s="17"/>
      <c r="F78" s="42"/>
      <c r="G78" s="43"/>
      <c r="H78" s="33"/>
      <c r="I78" s="16"/>
      <c r="J78" s="8"/>
      <c r="K78" s="1"/>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row>
    <row r="79" spans="1:258" ht="300" customHeight="1">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ht="300" customHeight="1">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58">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58">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58">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58">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row>
    <row r="421" spans="1:258">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row>
    <row r="422" spans="1:258">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row>
    <row r="423" spans="1:258">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row>
    <row r="424" spans="1:258">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row>
    <row r="425" spans="1:258">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row>
    <row r="426" spans="1:258">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row>
    <row r="427" spans="1:258">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row>
    <row r="428" spans="1:258">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row>
    <row r="429" spans="1:258">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row>
    <row r="430" spans="1:258">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row>
    <row r="431" spans="1:258">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row>
    <row r="432" spans="1:258">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row>
    <row r="433" spans="1:282">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row>
    <row r="434" spans="1:282">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row>
    <row r="435" spans="1:282">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c r="A1107" s="1"/>
      <c r="B1107" s="1"/>
      <c r="C1107" s="1"/>
      <c r="D1107" s="1"/>
      <c r="E1107" s="1"/>
      <c r="F1107" s="36"/>
      <c r="G1107" s="36"/>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c r="A1108" s="1"/>
      <c r="B1108" s="1"/>
      <c r="C1108" s="1"/>
      <c r="D1108" s="1"/>
      <c r="E1108" s="1"/>
      <c r="F1108" s="36"/>
      <c r="G1108" s="36"/>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c r="A1109" s="1"/>
      <c r="B1109" s="1"/>
      <c r="C1109" s="1"/>
      <c r="D1109" s="1"/>
      <c r="E1109" s="1"/>
      <c r="F1109" s="36"/>
      <c r="G1109" s="36"/>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row r="1110" spans="1:282">
      <c r="A1110" s="1"/>
      <c r="B1110" s="1"/>
      <c r="C1110" s="1"/>
      <c r="D1110" s="1"/>
      <c r="E1110" s="1"/>
      <c r="F1110" s="36"/>
      <c r="G1110" s="36"/>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c r="CW1110" s="1"/>
      <c r="CX1110" s="1"/>
      <c r="CY1110" s="1"/>
      <c r="CZ1110" s="1"/>
      <c r="DA1110" s="1"/>
      <c r="DB1110" s="1"/>
      <c r="DC1110" s="1"/>
      <c r="DD1110" s="1"/>
      <c r="DE1110" s="1"/>
      <c r="DF1110" s="1"/>
      <c r="DG1110" s="1"/>
      <c r="DH1110" s="1"/>
      <c r="DI1110" s="1"/>
      <c r="DJ1110" s="1"/>
      <c r="DK1110" s="1"/>
      <c r="DL1110" s="1"/>
      <c r="DM1110" s="1"/>
      <c r="DN1110" s="1"/>
      <c r="DO1110" s="1"/>
      <c r="DP1110" s="1"/>
      <c r="DQ1110" s="1"/>
      <c r="DR1110" s="1"/>
      <c r="DS1110" s="1"/>
      <c r="DT1110" s="1"/>
      <c r="DU1110" s="1"/>
      <c r="DV1110" s="1"/>
      <c r="DW1110" s="1"/>
      <c r="DX1110" s="1"/>
      <c r="DY1110" s="1"/>
      <c r="DZ1110" s="1"/>
      <c r="EA1110" s="1"/>
      <c r="EB1110" s="1"/>
      <c r="EC1110" s="1"/>
      <c r="ED1110" s="1"/>
      <c r="EE1110" s="1"/>
      <c r="EF1110" s="1"/>
      <c r="EG1110" s="1"/>
      <c r="EH1110" s="1"/>
      <c r="EI1110" s="1"/>
      <c r="EJ1110" s="1"/>
      <c r="EK1110" s="1"/>
      <c r="EL1110" s="1"/>
      <c r="EM1110" s="1"/>
      <c r="EN1110" s="1"/>
      <c r="EO1110" s="1"/>
      <c r="EP1110" s="1"/>
      <c r="EQ1110" s="1"/>
      <c r="ER1110" s="1"/>
      <c r="ES1110" s="1"/>
      <c r="ET1110" s="1"/>
      <c r="EU1110" s="1"/>
      <c r="EV1110" s="1"/>
      <c r="EW1110" s="1"/>
      <c r="EX1110" s="1"/>
      <c r="EY1110" s="1"/>
      <c r="EZ1110" s="1"/>
      <c r="FA1110" s="1"/>
      <c r="FB1110" s="1"/>
      <c r="FC1110" s="1"/>
      <c r="FD1110" s="1"/>
      <c r="FE1110" s="1"/>
      <c r="FF1110" s="1"/>
      <c r="FG1110" s="1"/>
      <c r="FH1110" s="1"/>
      <c r="FI1110" s="1"/>
      <c r="FJ1110" s="1"/>
      <c r="FK1110" s="1"/>
      <c r="FL1110" s="1"/>
      <c r="FM1110" s="1"/>
      <c r="FN1110" s="1"/>
      <c r="FO1110" s="1"/>
      <c r="FP1110" s="1"/>
      <c r="FQ1110" s="1"/>
      <c r="FR1110" s="1"/>
      <c r="FS1110" s="1"/>
      <c r="FT1110" s="1"/>
      <c r="FU1110" s="1"/>
      <c r="FV1110" s="1"/>
      <c r="FW1110" s="1"/>
      <c r="FX1110" s="1"/>
      <c r="FY1110" s="1"/>
      <c r="FZ1110" s="1"/>
      <c r="GA1110" s="1"/>
      <c r="GB1110" s="1"/>
      <c r="GC1110" s="1"/>
      <c r="GD1110" s="1"/>
      <c r="GE1110" s="1"/>
      <c r="GF1110" s="1"/>
      <c r="GG1110" s="1"/>
      <c r="GH1110" s="1"/>
      <c r="GI1110" s="1"/>
      <c r="GJ1110" s="1"/>
      <c r="GK1110" s="1"/>
      <c r="GL1110" s="1"/>
      <c r="GM1110" s="1"/>
      <c r="GN1110" s="1"/>
      <c r="GO1110" s="1"/>
      <c r="GP1110" s="1"/>
      <c r="GQ1110" s="1"/>
      <c r="GR1110" s="1"/>
      <c r="GS1110" s="1"/>
      <c r="GT1110" s="1"/>
      <c r="GU1110" s="1"/>
      <c r="GV1110" s="1"/>
      <c r="GW1110" s="1"/>
      <c r="GX1110" s="1"/>
      <c r="GY1110" s="1"/>
      <c r="GZ1110" s="1"/>
      <c r="HA1110" s="1"/>
      <c r="HB1110" s="1"/>
      <c r="HC1110" s="1"/>
      <c r="HD1110" s="1"/>
      <c r="HE1110" s="1"/>
      <c r="HF1110" s="1"/>
      <c r="HG1110" s="1"/>
      <c r="HH1110" s="1"/>
      <c r="HI1110" s="1"/>
      <c r="HJ1110" s="1"/>
      <c r="HK1110" s="1"/>
      <c r="HL1110" s="1"/>
      <c r="HM1110" s="1"/>
      <c r="HN1110" s="1"/>
      <c r="HO1110" s="1"/>
      <c r="HP1110" s="1"/>
      <c r="HQ1110" s="1"/>
      <c r="HR1110" s="1"/>
      <c r="HS1110" s="1"/>
      <c r="HT1110" s="1"/>
      <c r="HU1110" s="1"/>
      <c r="HV1110" s="1"/>
      <c r="HW1110" s="1"/>
      <c r="HX1110" s="1"/>
      <c r="HY1110" s="1"/>
      <c r="HZ1110" s="1"/>
      <c r="IA1110" s="1"/>
      <c r="IB1110" s="1"/>
      <c r="IC1110" s="1"/>
      <c r="ID1110" s="1"/>
      <c r="IE1110" s="1"/>
      <c r="IF1110" s="1"/>
      <c r="IG1110" s="1"/>
      <c r="IH1110" s="1"/>
      <c r="II1110" s="1"/>
      <c r="IJ1110" s="1"/>
      <c r="IK1110" s="1"/>
      <c r="IL1110" s="1"/>
      <c r="IM1110" s="1"/>
      <c r="IN1110" s="1"/>
      <c r="IO1110" s="1"/>
      <c r="IP1110" s="1"/>
      <c r="IQ1110" s="1"/>
      <c r="IR1110" s="1"/>
      <c r="IS1110" s="1"/>
      <c r="IT1110" s="1"/>
      <c r="IU1110" s="1"/>
      <c r="IV1110" s="1"/>
      <c r="IW1110" s="1"/>
      <c r="IX1110" s="1"/>
      <c r="IY1110" s="1"/>
      <c r="IZ1110" s="1"/>
      <c r="JA1110" s="1"/>
      <c r="JB1110" s="1"/>
      <c r="JC1110" s="1"/>
      <c r="JD1110" s="1"/>
      <c r="JE1110" s="1"/>
      <c r="JF1110" s="1"/>
      <c r="JG1110" s="1"/>
      <c r="JH1110" s="1"/>
      <c r="JI1110" s="1"/>
      <c r="JJ1110" s="1"/>
      <c r="JK1110" s="1"/>
      <c r="JL1110" s="1"/>
      <c r="JM1110" s="1"/>
      <c r="JN1110" s="1"/>
      <c r="JO1110" s="1"/>
      <c r="JP1110" s="1"/>
      <c r="JQ1110" s="1"/>
      <c r="JR1110" s="1"/>
      <c r="JS1110" s="1"/>
      <c r="JT1110" s="1"/>
      <c r="JU1110" s="1"/>
      <c r="JV1110" s="1"/>
    </row>
    <row r="1111" spans="1:282">
      <c r="A1111" s="1"/>
      <c r="B1111" s="1"/>
      <c r="C1111" s="1"/>
      <c r="D1111" s="1"/>
      <c r="E1111" s="1"/>
      <c r="F1111" s="36"/>
      <c r="G1111" s="36"/>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c r="CX1111" s="1"/>
      <c r="CY1111" s="1"/>
      <c r="CZ1111" s="1"/>
      <c r="DA1111" s="1"/>
      <c r="DB1111" s="1"/>
      <c r="DC1111" s="1"/>
      <c r="DD1111" s="1"/>
      <c r="DE1111" s="1"/>
      <c r="DF1111" s="1"/>
      <c r="DG1111" s="1"/>
      <c r="DH1111" s="1"/>
      <c r="DI1111" s="1"/>
      <c r="DJ1111" s="1"/>
      <c r="DK1111" s="1"/>
      <c r="DL1111" s="1"/>
      <c r="DM1111" s="1"/>
      <c r="DN1111" s="1"/>
      <c r="DO1111" s="1"/>
      <c r="DP1111" s="1"/>
      <c r="DQ1111" s="1"/>
      <c r="DR1111" s="1"/>
      <c r="DS1111" s="1"/>
      <c r="DT1111" s="1"/>
      <c r="DU1111" s="1"/>
      <c r="DV1111" s="1"/>
      <c r="DW1111" s="1"/>
      <c r="DX1111" s="1"/>
      <c r="DY1111" s="1"/>
      <c r="DZ1111" s="1"/>
      <c r="EA1111" s="1"/>
      <c r="EB1111" s="1"/>
      <c r="EC1111" s="1"/>
      <c r="ED1111" s="1"/>
      <c r="EE1111" s="1"/>
      <c r="EF1111" s="1"/>
      <c r="EG1111" s="1"/>
      <c r="EH1111" s="1"/>
      <c r="EI1111" s="1"/>
      <c r="EJ1111" s="1"/>
      <c r="EK1111" s="1"/>
      <c r="EL1111" s="1"/>
      <c r="EM1111" s="1"/>
      <c r="EN1111" s="1"/>
      <c r="EO1111" s="1"/>
      <c r="EP1111" s="1"/>
      <c r="EQ1111" s="1"/>
      <c r="ER1111" s="1"/>
      <c r="ES1111" s="1"/>
      <c r="ET1111" s="1"/>
      <c r="EU1111" s="1"/>
      <c r="EV1111" s="1"/>
      <c r="EW1111" s="1"/>
      <c r="EX1111" s="1"/>
      <c r="EY1111" s="1"/>
      <c r="EZ1111" s="1"/>
      <c r="FA1111" s="1"/>
      <c r="FB1111" s="1"/>
      <c r="FC1111" s="1"/>
      <c r="FD1111" s="1"/>
      <c r="FE1111" s="1"/>
      <c r="FF1111" s="1"/>
      <c r="FG1111" s="1"/>
      <c r="FH1111" s="1"/>
      <c r="FI1111" s="1"/>
      <c r="FJ1111" s="1"/>
      <c r="FK1111" s="1"/>
      <c r="FL1111" s="1"/>
      <c r="FM1111" s="1"/>
      <c r="FN1111" s="1"/>
      <c r="FO1111" s="1"/>
      <c r="FP1111" s="1"/>
      <c r="FQ1111" s="1"/>
      <c r="FR1111" s="1"/>
      <c r="FS1111" s="1"/>
      <c r="FT1111" s="1"/>
      <c r="FU1111" s="1"/>
      <c r="FV1111" s="1"/>
      <c r="FW1111" s="1"/>
      <c r="FX1111" s="1"/>
      <c r="FY1111" s="1"/>
      <c r="FZ1111" s="1"/>
      <c r="GA1111" s="1"/>
      <c r="GB1111" s="1"/>
      <c r="GC1111" s="1"/>
      <c r="GD1111" s="1"/>
      <c r="GE1111" s="1"/>
      <c r="GF1111" s="1"/>
      <c r="GG1111" s="1"/>
      <c r="GH1111" s="1"/>
      <c r="GI1111" s="1"/>
      <c r="GJ1111" s="1"/>
      <c r="GK1111" s="1"/>
      <c r="GL1111" s="1"/>
      <c r="GM1111" s="1"/>
      <c r="GN1111" s="1"/>
      <c r="GO1111" s="1"/>
      <c r="GP1111" s="1"/>
      <c r="GQ1111" s="1"/>
      <c r="GR1111" s="1"/>
      <c r="GS1111" s="1"/>
      <c r="GT1111" s="1"/>
      <c r="GU1111" s="1"/>
      <c r="GV1111" s="1"/>
      <c r="GW1111" s="1"/>
      <c r="GX1111" s="1"/>
      <c r="GY1111" s="1"/>
      <c r="GZ1111" s="1"/>
      <c r="HA1111" s="1"/>
      <c r="HB1111" s="1"/>
      <c r="HC1111" s="1"/>
      <c r="HD1111" s="1"/>
      <c r="HE1111" s="1"/>
      <c r="HF1111" s="1"/>
      <c r="HG1111" s="1"/>
      <c r="HH1111" s="1"/>
      <c r="HI1111" s="1"/>
      <c r="HJ1111" s="1"/>
      <c r="HK1111" s="1"/>
      <c r="HL1111" s="1"/>
      <c r="HM1111" s="1"/>
      <c r="HN1111" s="1"/>
      <c r="HO1111" s="1"/>
      <c r="HP1111" s="1"/>
      <c r="HQ1111" s="1"/>
      <c r="HR1111" s="1"/>
      <c r="HS1111" s="1"/>
      <c r="HT1111" s="1"/>
      <c r="HU1111" s="1"/>
      <c r="HV1111" s="1"/>
      <c r="HW1111" s="1"/>
      <c r="HX1111" s="1"/>
      <c r="HY1111" s="1"/>
      <c r="HZ1111" s="1"/>
      <c r="IA1111" s="1"/>
      <c r="IB1111" s="1"/>
      <c r="IC1111" s="1"/>
      <c r="ID1111" s="1"/>
      <c r="IE1111" s="1"/>
      <c r="IF1111" s="1"/>
      <c r="IG1111" s="1"/>
      <c r="IH1111" s="1"/>
      <c r="II1111" s="1"/>
      <c r="IJ1111" s="1"/>
      <c r="IK1111" s="1"/>
      <c r="IL1111" s="1"/>
      <c r="IM1111" s="1"/>
      <c r="IN1111" s="1"/>
      <c r="IO1111" s="1"/>
      <c r="IP1111" s="1"/>
      <c r="IQ1111" s="1"/>
      <c r="IR1111" s="1"/>
      <c r="IS1111" s="1"/>
      <c r="IT1111" s="1"/>
      <c r="IU1111" s="1"/>
      <c r="IV1111" s="1"/>
      <c r="IW1111" s="1"/>
      <c r="IX1111" s="1"/>
      <c r="IY1111" s="1"/>
      <c r="IZ1111" s="1"/>
      <c r="JA1111" s="1"/>
      <c r="JB1111" s="1"/>
      <c r="JC1111" s="1"/>
      <c r="JD1111" s="1"/>
      <c r="JE1111" s="1"/>
      <c r="JF1111" s="1"/>
      <c r="JG1111" s="1"/>
      <c r="JH1111" s="1"/>
      <c r="JI1111" s="1"/>
      <c r="JJ1111" s="1"/>
      <c r="JK1111" s="1"/>
      <c r="JL1111" s="1"/>
      <c r="JM1111" s="1"/>
      <c r="JN1111" s="1"/>
      <c r="JO1111" s="1"/>
      <c r="JP1111" s="1"/>
      <c r="JQ1111" s="1"/>
      <c r="JR1111" s="1"/>
      <c r="JS1111" s="1"/>
      <c r="JT1111" s="1"/>
      <c r="JU1111" s="1"/>
      <c r="JV1111" s="1"/>
    </row>
    <row r="1112" spans="1:282">
      <c r="A1112" s="1"/>
      <c r="B1112" s="1"/>
      <c r="C1112" s="1"/>
      <c r="D1112" s="1"/>
      <c r="E1112" s="1"/>
      <c r="F1112" s="36"/>
      <c r="G1112" s="36"/>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c r="DI1112" s="1"/>
      <c r="DJ1112" s="1"/>
      <c r="DK1112" s="1"/>
      <c r="DL1112" s="1"/>
      <c r="DM1112" s="1"/>
      <c r="DN1112" s="1"/>
      <c r="DO1112" s="1"/>
      <c r="DP1112" s="1"/>
      <c r="DQ1112" s="1"/>
      <c r="DR1112" s="1"/>
      <c r="DS1112" s="1"/>
      <c r="DT1112" s="1"/>
      <c r="DU1112" s="1"/>
      <c r="DV1112" s="1"/>
      <c r="DW1112" s="1"/>
      <c r="DX1112" s="1"/>
      <c r="DY1112" s="1"/>
      <c r="DZ1112" s="1"/>
      <c r="EA1112" s="1"/>
      <c r="EB1112" s="1"/>
      <c r="EC1112" s="1"/>
      <c r="ED1112" s="1"/>
      <c r="EE1112" s="1"/>
      <c r="EF1112" s="1"/>
      <c r="EG1112" s="1"/>
      <c r="EH1112" s="1"/>
      <c r="EI1112" s="1"/>
      <c r="EJ1112" s="1"/>
      <c r="EK1112" s="1"/>
      <c r="EL1112" s="1"/>
      <c r="EM1112" s="1"/>
      <c r="EN1112" s="1"/>
      <c r="EO1112" s="1"/>
      <c r="EP1112" s="1"/>
      <c r="EQ1112" s="1"/>
      <c r="ER1112" s="1"/>
      <c r="ES1112" s="1"/>
      <c r="ET1112" s="1"/>
      <c r="EU1112" s="1"/>
      <c r="EV1112" s="1"/>
      <c r="EW1112" s="1"/>
      <c r="EX1112" s="1"/>
      <c r="EY1112" s="1"/>
      <c r="EZ1112" s="1"/>
      <c r="FA1112" s="1"/>
      <c r="FB1112" s="1"/>
      <c r="FC1112" s="1"/>
      <c r="FD1112" s="1"/>
      <c r="FE1112" s="1"/>
      <c r="FF1112" s="1"/>
      <c r="FG1112" s="1"/>
      <c r="FH1112" s="1"/>
      <c r="FI1112" s="1"/>
      <c r="FJ1112" s="1"/>
      <c r="FK1112" s="1"/>
      <c r="FL1112" s="1"/>
      <c r="FM1112" s="1"/>
      <c r="FN1112" s="1"/>
      <c r="FO1112" s="1"/>
      <c r="FP1112" s="1"/>
      <c r="FQ1112" s="1"/>
      <c r="FR1112" s="1"/>
      <c r="FS1112" s="1"/>
      <c r="FT1112" s="1"/>
      <c r="FU1112" s="1"/>
      <c r="FV1112" s="1"/>
      <c r="FW1112" s="1"/>
      <c r="FX1112" s="1"/>
      <c r="FY1112" s="1"/>
      <c r="FZ1112" s="1"/>
      <c r="GA1112" s="1"/>
      <c r="GB1112" s="1"/>
      <c r="GC1112" s="1"/>
      <c r="GD1112" s="1"/>
      <c r="GE1112" s="1"/>
      <c r="GF1112" s="1"/>
      <c r="GG1112" s="1"/>
      <c r="GH1112" s="1"/>
      <c r="GI1112" s="1"/>
      <c r="GJ1112" s="1"/>
      <c r="GK1112" s="1"/>
      <c r="GL1112" s="1"/>
      <c r="GM1112" s="1"/>
      <c r="GN1112" s="1"/>
      <c r="GO1112" s="1"/>
      <c r="GP1112" s="1"/>
      <c r="GQ1112" s="1"/>
      <c r="GR1112" s="1"/>
      <c r="GS1112" s="1"/>
      <c r="GT1112" s="1"/>
      <c r="GU1112" s="1"/>
      <c r="GV1112" s="1"/>
      <c r="GW1112" s="1"/>
      <c r="GX1112" s="1"/>
      <c r="GY1112" s="1"/>
      <c r="GZ1112" s="1"/>
      <c r="HA1112" s="1"/>
      <c r="HB1112" s="1"/>
      <c r="HC1112" s="1"/>
      <c r="HD1112" s="1"/>
      <c r="HE1112" s="1"/>
      <c r="HF1112" s="1"/>
      <c r="HG1112" s="1"/>
      <c r="HH1112" s="1"/>
      <c r="HI1112" s="1"/>
      <c r="HJ1112" s="1"/>
      <c r="HK1112" s="1"/>
      <c r="HL1112" s="1"/>
      <c r="HM1112" s="1"/>
      <c r="HN1112" s="1"/>
      <c r="HO1112" s="1"/>
      <c r="HP1112" s="1"/>
      <c r="HQ1112" s="1"/>
      <c r="HR1112" s="1"/>
      <c r="HS1112" s="1"/>
      <c r="HT1112" s="1"/>
      <c r="HU1112" s="1"/>
      <c r="HV1112" s="1"/>
      <c r="HW1112" s="1"/>
      <c r="HX1112" s="1"/>
      <c r="HY1112" s="1"/>
      <c r="HZ1112" s="1"/>
      <c r="IA1112" s="1"/>
      <c r="IB1112" s="1"/>
      <c r="IC1112" s="1"/>
      <c r="ID1112" s="1"/>
      <c r="IE1112" s="1"/>
      <c r="IF1112" s="1"/>
      <c r="IG1112" s="1"/>
      <c r="IH1112" s="1"/>
      <c r="II1112" s="1"/>
      <c r="IJ1112" s="1"/>
      <c r="IK1112" s="1"/>
      <c r="IL1112" s="1"/>
      <c r="IM1112" s="1"/>
      <c r="IN1112" s="1"/>
      <c r="IO1112" s="1"/>
      <c r="IP1112" s="1"/>
      <c r="IQ1112" s="1"/>
      <c r="IR1112" s="1"/>
      <c r="IS1112" s="1"/>
      <c r="IT1112" s="1"/>
      <c r="IU1112" s="1"/>
      <c r="IV1112" s="1"/>
      <c r="IW1112" s="1"/>
      <c r="IX1112" s="1"/>
      <c r="IY1112" s="1"/>
      <c r="IZ1112" s="1"/>
      <c r="JA1112" s="1"/>
      <c r="JB1112" s="1"/>
      <c r="JC1112" s="1"/>
      <c r="JD1112" s="1"/>
      <c r="JE1112" s="1"/>
      <c r="JF1112" s="1"/>
      <c r="JG1112" s="1"/>
      <c r="JH1112" s="1"/>
      <c r="JI1112" s="1"/>
      <c r="JJ1112" s="1"/>
      <c r="JK1112" s="1"/>
      <c r="JL1112" s="1"/>
      <c r="JM1112" s="1"/>
      <c r="JN1112" s="1"/>
      <c r="JO1112" s="1"/>
      <c r="JP1112" s="1"/>
      <c r="JQ1112" s="1"/>
      <c r="JR1112" s="1"/>
      <c r="JS1112" s="1"/>
      <c r="JT1112" s="1"/>
      <c r="JU1112" s="1"/>
      <c r="JV1112" s="1"/>
    </row>
    <row r="1113" spans="1:282">
      <c r="A1113" s="1"/>
      <c r="B1113" s="1"/>
      <c r="C1113" s="1"/>
      <c r="D1113" s="1"/>
      <c r="E1113" s="1"/>
      <c r="F1113" s="36"/>
      <c r="G1113" s="36"/>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c r="DI1113" s="1"/>
      <c r="DJ1113" s="1"/>
      <c r="DK1113" s="1"/>
      <c r="DL1113" s="1"/>
      <c r="DM1113" s="1"/>
      <c r="DN1113" s="1"/>
      <c r="DO1113" s="1"/>
      <c r="DP1113" s="1"/>
      <c r="DQ1113" s="1"/>
      <c r="DR1113" s="1"/>
      <c r="DS1113" s="1"/>
      <c r="DT1113" s="1"/>
      <c r="DU1113" s="1"/>
      <c r="DV1113" s="1"/>
      <c r="DW1113" s="1"/>
      <c r="DX1113" s="1"/>
      <c r="DY1113" s="1"/>
      <c r="DZ1113" s="1"/>
      <c r="EA1113" s="1"/>
      <c r="EB1113" s="1"/>
      <c r="EC1113" s="1"/>
      <c r="ED1113" s="1"/>
      <c r="EE1113" s="1"/>
      <c r="EF1113" s="1"/>
      <c r="EG1113" s="1"/>
      <c r="EH1113" s="1"/>
      <c r="EI1113" s="1"/>
      <c r="EJ1113" s="1"/>
      <c r="EK1113" s="1"/>
      <c r="EL1113" s="1"/>
      <c r="EM1113" s="1"/>
      <c r="EN1113" s="1"/>
      <c r="EO1113" s="1"/>
      <c r="EP1113" s="1"/>
      <c r="EQ1113" s="1"/>
      <c r="ER1113" s="1"/>
      <c r="ES1113" s="1"/>
      <c r="ET1113" s="1"/>
      <c r="EU1113" s="1"/>
      <c r="EV1113" s="1"/>
      <c r="EW1113" s="1"/>
      <c r="EX1113" s="1"/>
      <c r="EY1113" s="1"/>
      <c r="EZ1113" s="1"/>
      <c r="FA1113" s="1"/>
      <c r="FB1113" s="1"/>
      <c r="FC1113" s="1"/>
      <c r="FD1113" s="1"/>
      <c r="FE1113" s="1"/>
      <c r="FF1113" s="1"/>
      <c r="FG1113" s="1"/>
      <c r="FH1113" s="1"/>
      <c r="FI1113" s="1"/>
      <c r="FJ1113" s="1"/>
      <c r="FK1113" s="1"/>
      <c r="FL1113" s="1"/>
      <c r="FM1113" s="1"/>
      <c r="FN1113" s="1"/>
      <c r="FO1113" s="1"/>
      <c r="FP1113" s="1"/>
      <c r="FQ1113" s="1"/>
      <c r="FR1113" s="1"/>
      <c r="FS1113" s="1"/>
      <c r="FT1113" s="1"/>
      <c r="FU1113" s="1"/>
      <c r="FV1113" s="1"/>
      <c r="FW1113" s="1"/>
      <c r="FX1113" s="1"/>
      <c r="FY1113" s="1"/>
      <c r="FZ1113" s="1"/>
      <c r="GA1113" s="1"/>
      <c r="GB1113" s="1"/>
      <c r="GC1113" s="1"/>
      <c r="GD1113" s="1"/>
      <c r="GE1113" s="1"/>
      <c r="GF1113" s="1"/>
      <c r="GG1113" s="1"/>
      <c r="GH1113" s="1"/>
      <c r="GI1113" s="1"/>
      <c r="GJ1113" s="1"/>
      <c r="GK1113" s="1"/>
      <c r="GL1113" s="1"/>
      <c r="GM1113" s="1"/>
      <c r="GN1113" s="1"/>
      <c r="GO1113" s="1"/>
      <c r="GP1113" s="1"/>
      <c r="GQ1113" s="1"/>
      <c r="GR1113" s="1"/>
      <c r="GS1113" s="1"/>
      <c r="GT1113" s="1"/>
      <c r="GU1113" s="1"/>
      <c r="GV1113" s="1"/>
      <c r="GW1113" s="1"/>
      <c r="GX1113" s="1"/>
      <c r="GY1113" s="1"/>
      <c r="GZ1113" s="1"/>
      <c r="HA1113" s="1"/>
      <c r="HB1113" s="1"/>
      <c r="HC1113" s="1"/>
      <c r="HD1113" s="1"/>
      <c r="HE1113" s="1"/>
      <c r="HF1113" s="1"/>
      <c r="HG1113" s="1"/>
      <c r="HH1113" s="1"/>
      <c r="HI1113" s="1"/>
      <c r="HJ1113" s="1"/>
      <c r="HK1113" s="1"/>
      <c r="HL1113" s="1"/>
      <c r="HM1113" s="1"/>
      <c r="HN1113" s="1"/>
      <c r="HO1113" s="1"/>
      <c r="HP1113" s="1"/>
      <c r="HQ1113" s="1"/>
      <c r="HR1113" s="1"/>
      <c r="HS1113" s="1"/>
      <c r="HT1113" s="1"/>
      <c r="HU1113" s="1"/>
      <c r="HV1113" s="1"/>
      <c r="HW1113" s="1"/>
      <c r="HX1113" s="1"/>
      <c r="HY1113" s="1"/>
      <c r="HZ1113" s="1"/>
      <c r="IA1113" s="1"/>
      <c r="IB1113" s="1"/>
      <c r="IC1113" s="1"/>
      <c r="ID1113" s="1"/>
      <c r="IE1113" s="1"/>
      <c r="IF1113" s="1"/>
      <c r="IG1113" s="1"/>
      <c r="IH1113" s="1"/>
      <c r="II1113" s="1"/>
      <c r="IJ1113" s="1"/>
      <c r="IK1113" s="1"/>
      <c r="IL1113" s="1"/>
      <c r="IM1113" s="1"/>
      <c r="IN1113" s="1"/>
      <c r="IO1113" s="1"/>
      <c r="IP1113" s="1"/>
      <c r="IQ1113" s="1"/>
      <c r="IR1113" s="1"/>
      <c r="IS1113" s="1"/>
      <c r="IT1113" s="1"/>
      <c r="IU1113" s="1"/>
      <c r="IV1113" s="1"/>
      <c r="IW1113" s="1"/>
      <c r="IX1113" s="1"/>
      <c r="IY1113" s="1"/>
      <c r="IZ1113" s="1"/>
      <c r="JA1113" s="1"/>
      <c r="JB1113" s="1"/>
      <c r="JC1113" s="1"/>
      <c r="JD1113" s="1"/>
      <c r="JE1113" s="1"/>
      <c r="JF1113" s="1"/>
      <c r="JG1113" s="1"/>
      <c r="JH1113" s="1"/>
      <c r="JI1113" s="1"/>
      <c r="JJ1113" s="1"/>
      <c r="JK1113" s="1"/>
      <c r="JL1113" s="1"/>
      <c r="JM1113" s="1"/>
      <c r="JN1113" s="1"/>
      <c r="JO1113" s="1"/>
      <c r="JP1113" s="1"/>
      <c r="JQ1113" s="1"/>
      <c r="JR1113" s="1"/>
      <c r="JS1113" s="1"/>
      <c r="JT1113" s="1"/>
      <c r="JU1113" s="1"/>
      <c r="JV1113" s="1"/>
    </row>
    <row r="1114" spans="1:282">
      <c r="A1114" s="1"/>
      <c r="B1114" s="1"/>
      <c r="C1114" s="1"/>
      <c r="D1114" s="1"/>
      <c r="E1114" s="1"/>
      <c r="F1114" s="36"/>
      <c r="G1114" s="36"/>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1"/>
      <c r="DH1114" s="1"/>
      <c r="DI1114" s="1"/>
      <c r="DJ1114" s="1"/>
      <c r="DK1114" s="1"/>
      <c r="DL1114" s="1"/>
      <c r="DM1114" s="1"/>
      <c r="DN1114" s="1"/>
      <c r="DO1114" s="1"/>
      <c r="DP1114" s="1"/>
      <c r="DQ1114" s="1"/>
      <c r="DR1114" s="1"/>
      <c r="DS1114" s="1"/>
      <c r="DT1114" s="1"/>
      <c r="DU1114" s="1"/>
      <c r="DV1114" s="1"/>
      <c r="DW1114" s="1"/>
      <c r="DX1114" s="1"/>
      <c r="DY1114" s="1"/>
      <c r="DZ1114" s="1"/>
      <c r="EA1114" s="1"/>
      <c r="EB1114" s="1"/>
      <c r="EC1114" s="1"/>
      <c r="ED1114" s="1"/>
      <c r="EE1114" s="1"/>
      <c r="EF1114" s="1"/>
      <c r="EG1114" s="1"/>
      <c r="EH1114" s="1"/>
      <c r="EI1114" s="1"/>
      <c r="EJ1114" s="1"/>
      <c r="EK1114" s="1"/>
      <c r="EL1114" s="1"/>
      <c r="EM1114" s="1"/>
      <c r="EN1114" s="1"/>
      <c r="EO1114" s="1"/>
      <c r="EP1114" s="1"/>
      <c r="EQ1114" s="1"/>
      <c r="ER1114" s="1"/>
      <c r="ES1114" s="1"/>
      <c r="ET1114" s="1"/>
      <c r="EU1114" s="1"/>
      <c r="EV1114" s="1"/>
      <c r="EW1114" s="1"/>
      <c r="EX1114" s="1"/>
      <c r="EY1114" s="1"/>
      <c r="EZ1114" s="1"/>
      <c r="FA1114" s="1"/>
      <c r="FB1114" s="1"/>
      <c r="FC1114" s="1"/>
      <c r="FD1114" s="1"/>
      <c r="FE1114" s="1"/>
      <c r="FF1114" s="1"/>
      <c r="FG1114" s="1"/>
      <c r="FH1114" s="1"/>
      <c r="FI1114" s="1"/>
      <c r="FJ1114" s="1"/>
      <c r="FK1114" s="1"/>
      <c r="FL1114" s="1"/>
      <c r="FM1114" s="1"/>
      <c r="FN1114" s="1"/>
      <c r="FO1114" s="1"/>
      <c r="FP1114" s="1"/>
      <c r="FQ1114" s="1"/>
      <c r="FR1114" s="1"/>
      <c r="FS1114" s="1"/>
      <c r="FT1114" s="1"/>
      <c r="FU1114" s="1"/>
      <c r="FV1114" s="1"/>
      <c r="FW1114" s="1"/>
      <c r="FX1114" s="1"/>
      <c r="FY1114" s="1"/>
      <c r="FZ1114" s="1"/>
      <c r="GA1114" s="1"/>
      <c r="GB1114" s="1"/>
      <c r="GC1114" s="1"/>
      <c r="GD1114" s="1"/>
      <c r="GE1114" s="1"/>
      <c r="GF1114" s="1"/>
      <c r="GG1114" s="1"/>
      <c r="GH1114" s="1"/>
      <c r="GI1114" s="1"/>
      <c r="GJ1114" s="1"/>
      <c r="GK1114" s="1"/>
      <c r="GL1114" s="1"/>
      <c r="GM1114" s="1"/>
      <c r="GN1114" s="1"/>
      <c r="GO1114" s="1"/>
      <c r="GP1114" s="1"/>
      <c r="GQ1114" s="1"/>
      <c r="GR1114" s="1"/>
      <c r="GS1114" s="1"/>
      <c r="GT1114" s="1"/>
      <c r="GU1114" s="1"/>
      <c r="GV1114" s="1"/>
      <c r="GW1114" s="1"/>
      <c r="GX1114" s="1"/>
      <c r="GY1114" s="1"/>
      <c r="GZ1114" s="1"/>
      <c r="HA1114" s="1"/>
      <c r="HB1114" s="1"/>
      <c r="HC1114" s="1"/>
      <c r="HD1114" s="1"/>
      <c r="HE1114" s="1"/>
      <c r="HF1114" s="1"/>
      <c r="HG1114" s="1"/>
      <c r="HH1114" s="1"/>
      <c r="HI1114" s="1"/>
      <c r="HJ1114" s="1"/>
      <c r="HK1114" s="1"/>
      <c r="HL1114" s="1"/>
      <c r="HM1114" s="1"/>
      <c r="HN1114" s="1"/>
      <c r="HO1114" s="1"/>
      <c r="HP1114" s="1"/>
      <c r="HQ1114" s="1"/>
      <c r="HR1114" s="1"/>
      <c r="HS1114" s="1"/>
      <c r="HT1114" s="1"/>
      <c r="HU1114" s="1"/>
      <c r="HV1114" s="1"/>
      <c r="HW1114" s="1"/>
      <c r="HX1114" s="1"/>
      <c r="HY1114" s="1"/>
      <c r="HZ1114" s="1"/>
      <c r="IA1114" s="1"/>
      <c r="IB1114" s="1"/>
      <c r="IC1114" s="1"/>
      <c r="ID1114" s="1"/>
      <c r="IE1114" s="1"/>
      <c r="IF1114" s="1"/>
      <c r="IG1114" s="1"/>
      <c r="IH1114" s="1"/>
      <c r="II1114" s="1"/>
      <c r="IJ1114" s="1"/>
      <c r="IK1114" s="1"/>
      <c r="IL1114" s="1"/>
      <c r="IM1114" s="1"/>
      <c r="IN1114" s="1"/>
      <c r="IO1114" s="1"/>
      <c r="IP1114" s="1"/>
      <c r="IQ1114" s="1"/>
      <c r="IR1114" s="1"/>
      <c r="IS1114" s="1"/>
      <c r="IT1114" s="1"/>
      <c r="IU1114" s="1"/>
      <c r="IV1114" s="1"/>
      <c r="IW1114" s="1"/>
      <c r="IX1114" s="1"/>
      <c r="IY1114" s="1"/>
      <c r="IZ1114" s="1"/>
      <c r="JA1114" s="1"/>
      <c r="JB1114" s="1"/>
      <c r="JC1114" s="1"/>
      <c r="JD1114" s="1"/>
      <c r="JE1114" s="1"/>
      <c r="JF1114" s="1"/>
      <c r="JG1114" s="1"/>
      <c r="JH1114" s="1"/>
      <c r="JI1114" s="1"/>
      <c r="JJ1114" s="1"/>
      <c r="JK1114" s="1"/>
      <c r="JL1114" s="1"/>
      <c r="JM1114" s="1"/>
      <c r="JN1114" s="1"/>
      <c r="JO1114" s="1"/>
      <c r="JP1114" s="1"/>
      <c r="JQ1114" s="1"/>
      <c r="JR1114" s="1"/>
      <c r="JS1114" s="1"/>
      <c r="JT1114" s="1"/>
      <c r="JU1114" s="1"/>
      <c r="JV1114" s="1"/>
    </row>
    <row r="1115" spans="1:282">
      <c r="A1115" s="1"/>
      <c r="B1115" s="1"/>
      <c r="C1115" s="1"/>
      <c r="D1115" s="1"/>
      <c r="E1115" s="1"/>
      <c r="F1115" s="36"/>
      <c r="G1115" s="36"/>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c r="CW1115" s="1"/>
      <c r="CX1115" s="1"/>
      <c r="CY1115" s="1"/>
      <c r="CZ1115" s="1"/>
      <c r="DA1115" s="1"/>
      <c r="DB1115" s="1"/>
      <c r="DC1115" s="1"/>
      <c r="DD1115" s="1"/>
      <c r="DE1115" s="1"/>
      <c r="DF1115" s="1"/>
      <c r="DG1115" s="1"/>
      <c r="DH1115" s="1"/>
      <c r="DI1115" s="1"/>
      <c r="DJ1115" s="1"/>
      <c r="DK1115" s="1"/>
      <c r="DL1115" s="1"/>
      <c r="DM1115" s="1"/>
      <c r="DN1115" s="1"/>
      <c r="DO1115" s="1"/>
      <c r="DP1115" s="1"/>
      <c r="DQ1115" s="1"/>
      <c r="DR1115" s="1"/>
      <c r="DS1115" s="1"/>
      <c r="DT1115" s="1"/>
      <c r="DU1115" s="1"/>
      <c r="DV1115" s="1"/>
      <c r="DW1115" s="1"/>
      <c r="DX1115" s="1"/>
      <c r="DY1115" s="1"/>
      <c r="DZ1115" s="1"/>
      <c r="EA1115" s="1"/>
      <c r="EB1115" s="1"/>
      <c r="EC1115" s="1"/>
      <c r="ED1115" s="1"/>
      <c r="EE1115" s="1"/>
      <c r="EF1115" s="1"/>
      <c r="EG1115" s="1"/>
      <c r="EH1115" s="1"/>
      <c r="EI1115" s="1"/>
      <c r="EJ1115" s="1"/>
      <c r="EK1115" s="1"/>
      <c r="EL1115" s="1"/>
      <c r="EM1115" s="1"/>
      <c r="EN1115" s="1"/>
      <c r="EO1115" s="1"/>
      <c r="EP1115" s="1"/>
      <c r="EQ1115" s="1"/>
      <c r="ER1115" s="1"/>
      <c r="ES1115" s="1"/>
      <c r="ET1115" s="1"/>
      <c r="EU1115" s="1"/>
      <c r="EV1115" s="1"/>
      <c r="EW1115" s="1"/>
      <c r="EX1115" s="1"/>
      <c r="EY1115" s="1"/>
      <c r="EZ1115" s="1"/>
      <c r="FA1115" s="1"/>
      <c r="FB1115" s="1"/>
      <c r="FC1115" s="1"/>
      <c r="FD1115" s="1"/>
      <c r="FE1115" s="1"/>
      <c r="FF1115" s="1"/>
      <c r="FG1115" s="1"/>
      <c r="FH1115" s="1"/>
      <c r="FI1115" s="1"/>
      <c r="FJ1115" s="1"/>
      <c r="FK1115" s="1"/>
      <c r="FL1115" s="1"/>
      <c r="FM1115" s="1"/>
      <c r="FN1115" s="1"/>
      <c r="FO1115" s="1"/>
      <c r="FP1115" s="1"/>
      <c r="FQ1115" s="1"/>
      <c r="FR1115" s="1"/>
      <c r="FS1115" s="1"/>
      <c r="FT1115" s="1"/>
      <c r="FU1115" s="1"/>
      <c r="FV1115" s="1"/>
      <c r="FW1115" s="1"/>
      <c r="FX1115" s="1"/>
      <c r="FY1115" s="1"/>
      <c r="FZ1115" s="1"/>
      <c r="GA1115" s="1"/>
      <c r="GB1115" s="1"/>
      <c r="GC1115" s="1"/>
      <c r="GD1115" s="1"/>
      <c r="GE1115" s="1"/>
      <c r="GF1115" s="1"/>
      <c r="GG1115" s="1"/>
      <c r="GH1115" s="1"/>
      <c r="GI1115" s="1"/>
      <c r="GJ1115" s="1"/>
      <c r="GK1115" s="1"/>
      <c r="GL1115" s="1"/>
      <c r="GM1115" s="1"/>
      <c r="GN1115" s="1"/>
      <c r="GO1115" s="1"/>
      <c r="GP1115" s="1"/>
      <c r="GQ1115" s="1"/>
      <c r="GR1115" s="1"/>
      <c r="GS1115" s="1"/>
      <c r="GT1115" s="1"/>
      <c r="GU1115" s="1"/>
      <c r="GV1115" s="1"/>
      <c r="GW1115" s="1"/>
      <c r="GX1115" s="1"/>
      <c r="GY1115" s="1"/>
      <c r="GZ1115" s="1"/>
      <c r="HA1115" s="1"/>
      <c r="HB1115" s="1"/>
      <c r="HC1115" s="1"/>
      <c r="HD1115" s="1"/>
      <c r="HE1115" s="1"/>
      <c r="HF1115" s="1"/>
      <c r="HG1115" s="1"/>
      <c r="HH1115" s="1"/>
      <c r="HI1115" s="1"/>
      <c r="HJ1115" s="1"/>
      <c r="HK1115" s="1"/>
      <c r="HL1115" s="1"/>
      <c r="HM1115" s="1"/>
      <c r="HN1115" s="1"/>
      <c r="HO1115" s="1"/>
      <c r="HP1115" s="1"/>
      <c r="HQ1115" s="1"/>
      <c r="HR1115" s="1"/>
      <c r="HS1115" s="1"/>
      <c r="HT1115" s="1"/>
      <c r="HU1115" s="1"/>
      <c r="HV1115" s="1"/>
      <c r="HW1115" s="1"/>
      <c r="HX1115" s="1"/>
      <c r="HY1115" s="1"/>
      <c r="HZ1115" s="1"/>
      <c r="IA1115" s="1"/>
      <c r="IB1115" s="1"/>
      <c r="IC1115" s="1"/>
      <c r="ID1115" s="1"/>
      <c r="IE1115" s="1"/>
      <c r="IF1115" s="1"/>
      <c r="IG1115" s="1"/>
      <c r="IH1115" s="1"/>
      <c r="II1115" s="1"/>
      <c r="IJ1115" s="1"/>
      <c r="IK1115" s="1"/>
      <c r="IL1115" s="1"/>
      <c r="IM1115" s="1"/>
      <c r="IN1115" s="1"/>
      <c r="IO1115" s="1"/>
      <c r="IP1115" s="1"/>
      <c r="IQ1115" s="1"/>
      <c r="IR1115" s="1"/>
      <c r="IS1115" s="1"/>
      <c r="IT1115" s="1"/>
      <c r="IU1115" s="1"/>
      <c r="IV1115" s="1"/>
      <c r="IW1115" s="1"/>
      <c r="IX1115" s="1"/>
      <c r="IY1115" s="1"/>
      <c r="IZ1115" s="1"/>
      <c r="JA1115" s="1"/>
      <c r="JB1115" s="1"/>
      <c r="JC1115" s="1"/>
      <c r="JD1115" s="1"/>
      <c r="JE1115" s="1"/>
      <c r="JF1115" s="1"/>
      <c r="JG1115" s="1"/>
      <c r="JH1115" s="1"/>
      <c r="JI1115" s="1"/>
      <c r="JJ1115" s="1"/>
      <c r="JK1115" s="1"/>
      <c r="JL1115" s="1"/>
      <c r="JM1115" s="1"/>
      <c r="JN1115" s="1"/>
      <c r="JO1115" s="1"/>
      <c r="JP1115" s="1"/>
      <c r="JQ1115" s="1"/>
      <c r="JR1115" s="1"/>
      <c r="JS1115" s="1"/>
      <c r="JT1115" s="1"/>
      <c r="JU1115" s="1"/>
      <c r="JV1115" s="1"/>
    </row>
    <row r="1116" spans="1:282">
      <c r="A1116" s="1"/>
      <c r="B1116" s="1"/>
      <c r="C1116" s="1"/>
      <c r="D1116" s="1"/>
      <c r="E1116" s="1"/>
      <c r="F1116" s="36"/>
      <c r="G1116" s="36"/>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c r="CS1116" s="1"/>
      <c r="CT1116" s="1"/>
      <c r="CU1116" s="1"/>
      <c r="CV1116" s="1"/>
      <c r="CW1116" s="1"/>
      <c r="CX1116" s="1"/>
      <c r="CY1116" s="1"/>
      <c r="CZ1116" s="1"/>
      <c r="DA1116" s="1"/>
      <c r="DB1116" s="1"/>
      <c r="DC1116" s="1"/>
      <c r="DD1116" s="1"/>
      <c r="DE1116" s="1"/>
      <c r="DF1116" s="1"/>
      <c r="DG1116" s="1"/>
      <c r="DH1116" s="1"/>
      <c r="DI1116" s="1"/>
      <c r="DJ1116" s="1"/>
      <c r="DK1116" s="1"/>
      <c r="DL1116" s="1"/>
      <c r="DM1116" s="1"/>
      <c r="DN1116" s="1"/>
      <c r="DO1116" s="1"/>
      <c r="DP1116" s="1"/>
      <c r="DQ1116" s="1"/>
      <c r="DR1116" s="1"/>
      <c r="DS1116" s="1"/>
      <c r="DT1116" s="1"/>
      <c r="DU1116" s="1"/>
      <c r="DV1116" s="1"/>
      <c r="DW1116" s="1"/>
      <c r="DX1116" s="1"/>
      <c r="DY1116" s="1"/>
      <c r="DZ1116" s="1"/>
      <c r="EA1116" s="1"/>
      <c r="EB1116" s="1"/>
      <c r="EC1116" s="1"/>
      <c r="ED1116" s="1"/>
      <c r="EE1116" s="1"/>
      <c r="EF1116" s="1"/>
      <c r="EG1116" s="1"/>
      <c r="EH1116" s="1"/>
      <c r="EI1116" s="1"/>
      <c r="EJ1116" s="1"/>
      <c r="EK1116" s="1"/>
      <c r="EL1116" s="1"/>
      <c r="EM1116" s="1"/>
      <c r="EN1116" s="1"/>
      <c r="EO1116" s="1"/>
      <c r="EP1116" s="1"/>
      <c r="EQ1116" s="1"/>
      <c r="ER1116" s="1"/>
      <c r="ES1116" s="1"/>
      <c r="ET1116" s="1"/>
      <c r="EU1116" s="1"/>
      <c r="EV1116" s="1"/>
      <c r="EW1116" s="1"/>
      <c r="EX1116" s="1"/>
      <c r="EY1116" s="1"/>
      <c r="EZ1116" s="1"/>
      <c r="FA1116" s="1"/>
      <c r="FB1116" s="1"/>
      <c r="FC1116" s="1"/>
      <c r="FD1116" s="1"/>
      <c r="FE1116" s="1"/>
      <c r="FF1116" s="1"/>
      <c r="FG1116" s="1"/>
      <c r="FH1116" s="1"/>
      <c r="FI1116" s="1"/>
      <c r="FJ1116" s="1"/>
      <c r="FK1116" s="1"/>
      <c r="FL1116" s="1"/>
      <c r="FM1116" s="1"/>
      <c r="FN1116" s="1"/>
      <c r="FO1116" s="1"/>
      <c r="FP1116" s="1"/>
      <c r="FQ1116" s="1"/>
      <c r="FR1116" s="1"/>
      <c r="FS1116" s="1"/>
      <c r="FT1116" s="1"/>
      <c r="FU1116" s="1"/>
      <c r="FV1116" s="1"/>
      <c r="FW1116" s="1"/>
      <c r="FX1116" s="1"/>
      <c r="FY1116" s="1"/>
      <c r="FZ1116" s="1"/>
      <c r="GA1116" s="1"/>
      <c r="GB1116" s="1"/>
      <c r="GC1116" s="1"/>
      <c r="GD1116" s="1"/>
      <c r="GE1116" s="1"/>
      <c r="GF1116" s="1"/>
      <c r="GG1116" s="1"/>
      <c r="GH1116" s="1"/>
      <c r="GI1116" s="1"/>
      <c r="GJ1116" s="1"/>
      <c r="GK1116" s="1"/>
      <c r="GL1116" s="1"/>
      <c r="GM1116" s="1"/>
      <c r="GN1116" s="1"/>
      <c r="GO1116" s="1"/>
      <c r="GP1116" s="1"/>
      <c r="GQ1116" s="1"/>
      <c r="GR1116" s="1"/>
      <c r="GS1116" s="1"/>
      <c r="GT1116" s="1"/>
      <c r="GU1116" s="1"/>
      <c r="GV1116" s="1"/>
      <c r="GW1116" s="1"/>
      <c r="GX1116" s="1"/>
      <c r="GY1116" s="1"/>
      <c r="GZ1116" s="1"/>
      <c r="HA1116" s="1"/>
      <c r="HB1116" s="1"/>
      <c r="HC1116" s="1"/>
      <c r="HD1116" s="1"/>
      <c r="HE1116" s="1"/>
      <c r="HF1116" s="1"/>
      <c r="HG1116" s="1"/>
      <c r="HH1116" s="1"/>
      <c r="HI1116" s="1"/>
      <c r="HJ1116" s="1"/>
      <c r="HK1116" s="1"/>
      <c r="HL1116" s="1"/>
      <c r="HM1116" s="1"/>
      <c r="HN1116" s="1"/>
      <c r="HO1116" s="1"/>
      <c r="HP1116" s="1"/>
      <c r="HQ1116" s="1"/>
      <c r="HR1116" s="1"/>
      <c r="HS1116" s="1"/>
      <c r="HT1116" s="1"/>
      <c r="HU1116" s="1"/>
      <c r="HV1116" s="1"/>
      <c r="HW1116" s="1"/>
      <c r="HX1116" s="1"/>
      <c r="HY1116" s="1"/>
      <c r="HZ1116" s="1"/>
      <c r="IA1116" s="1"/>
      <c r="IB1116" s="1"/>
      <c r="IC1116" s="1"/>
      <c r="ID1116" s="1"/>
      <c r="IE1116" s="1"/>
      <c r="IF1116" s="1"/>
      <c r="IG1116" s="1"/>
      <c r="IH1116" s="1"/>
      <c r="II1116" s="1"/>
      <c r="IJ1116" s="1"/>
      <c r="IK1116" s="1"/>
      <c r="IL1116" s="1"/>
      <c r="IM1116" s="1"/>
      <c r="IN1116" s="1"/>
      <c r="IO1116" s="1"/>
      <c r="IP1116" s="1"/>
      <c r="IQ1116" s="1"/>
      <c r="IR1116" s="1"/>
      <c r="IS1116" s="1"/>
      <c r="IT1116" s="1"/>
      <c r="IU1116" s="1"/>
      <c r="IV1116" s="1"/>
      <c r="IW1116" s="1"/>
      <c r="IX1116" s="1"/>
      <c r="IY1116" s="1"/>
      <c r="IZ1116" s="1"/>
      <c r="JA1116" s="1"/>
      <c r="JB1116" s="1"/>
      <c r="JC1116" s="1"/>
      <c r="JD1116" s="1"/>
      <c r="JE1116" s="1"/>
      <c r="JF1116" s="1"/>
      <c r="JG1116" s="1"/>
      <c r="JH1116" s="1"/>
      <c r="JI1116" s="1"/>
      <c r="JJ1116" s="1"/>
      <c r="JK1116" s="1"/>
      <c r="JL1116" s="1"/>
      <c r="JM1116" s="1"/>
      <c r="JN1116" s="1"/>
      <c r="JO1116" s="1"/>
      <c r="JP1116" s="1"/>
      <c r="JQ1116" s="1"/>
      <c r="JR1116" s="1"/>
      <c r="JS1116" s="1"/>
      <c r="JT1116" s="1"/>
      <c r="JU1116" s="1"/>
      <c r="JV1116" s="1"/>
    </row>
    <row r="1117" spans="1:282">
      <c r="A1117" s="1"/>
      <c r="B1117" s="1"/>
      <c r="C1117" s="1"/>
      <c r="D1117" s="1"/>
      <c r="E1117" s="1"/>
      <c r="F1117" s="36"/>
      <c r="G1117" s="36"/>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c r="CV1117" s="1"/>
      <c r="CW1117" s="1"/>
      <c r="CX1117" s="1"/>
      <c r="CY1117" s="1"/>
      <c r="CZ1117" s="1"/>
      <c r="DA1117" s="1"/>
      <c r="DB1117" s="1"/>
      <c r="DC1117" s="1"/>
      <c r="DD1117" s="1"/>
      <c r="DE1117" s="1"/>
      <c r="DF1117" s="1"/>
      <c r="DG1117" s="1"/>
      <c r="DH1117" s="1"/>
      <c r="DI1117" s="1"/>
      <c r="DJ1117" s="1"/>
      <c r="DK1117" s="1"/>
      <c r="DL1117" s="1"/>
      <c r="DM1117" s="1"/>
      <c r="DN1117" s="1"/>
      <c r="DO1117" s="1"/>
      <c r="DP1117" s="1"/>
      <c r="DQ1117" s="1"/>
      <c r="DR1117" s="1"/>
      <c r="DS1117" s="1"/>
      <c r="DT1117" s="1"/>
      <c r="DU1117" s="1"/>
      <c r="DV1117" s="1"/>
      <c r="DW1117" s="1"/>
      <c r="DX1117" s="1"/>
      <c r="DY1117" s="1"/>
      <c r="DZ1117" s="1"/>
      <c r="EA1117" s="1"/>
      <c r="EB1117" s="1"/>
      <c r="EC1117" s="1"/>
      <c r="ED1117" s="1"/>
      <c r="EE1117" s="1"/>
      <c r="EF1117" s="1"/>
      <c r="EG1117" s="1"/>
      <c r="EH1117" s="1"/>
      <c r="EI1117" s="1"/>
      <c r="EJ1117" s="1"/>
      <c r="EK1117" s="1"/>
      <c r="EL1117" s="1"/>
      <c r="EM1117" s="1"/>
      <c r="EN1117" s="1"/>
      <c r="EO1117" s="1"/>
      <c r="EP1117" s="1"/>
      <c r="EQ1117" s="1"/>
      <c r="ER1117" s="1"/>
      <c r="ES1117" s="1"/>
      <c r="ET1117" s="1"/>
      <c r="EU1117" s="1"/>
      <c r="EV1117" s="1"/>
      <c r="EW1117" s="1"/>
      <c r="EX1117" s="1"/>
      <c r="EY1117" s="1"/>
      <c r="EZ1117" s="1"/>
      <c r="FA1117" s="1"/>
      <c r="FB1117" s="1"/>
      <c r="FC1117" s="1"/>
      <c r="FD1117" s="1"/>
      <c r="FE1117" s="1"/>
      <c r="FF1117" s="1"/>
      <c r="FG1117" s="1"/>
      <c r="FH1117" s="1"/>
      <c r="FI1117" s="1"/>
      <c r="FJ1117" s="1"/>
      <c r="FK1117" s="1"/>
      <c r="FL1117" s="1"/>
      <c r="FM1117" s="1"/>
      <c r="FN1117" s="1"/>
      <c r="FO1117" s="1"/>
      <c r="FP1117" s="1"/>
      <c r="FQ1117" s="1"/>
      <c r="FR1117" s="1"/>
      <c r="FS1117" s="1"/>
      <c r="FT1117" s="1"/>
      <c r="FU1117" s="1"/>
      <c r="FV1117" s="1"/>
      <c r="FW1117" s="1"/>
      <c r="FX1117" s="1"/>
      <c r="FY1117" s="1"/>
      <c r="FZ1117" s="1"/>
      <c r="GA1117" s="1"/>
      <c r="GB1117" s="1"/>
      <c r="GC1117" s="1"/>
      <c r="GD1117" s="1"/>
      <c r="GE1117" s="1"/>
      <c r="GF1117" s="1"/>
      <c r="GG1117" s="1"/>
      <c r="GH1117" s="1"/>
      <c r="GI1117" s="1"/>
      <c r="GJ1117" s="1"/>
      <c r="GK1117" s="1"/>
      <c r="GL1117" s="1"/>
      <c r="GM1117" s="1"/>
      <c r="GN1117" s="1"/>
      <c r="GO1117" s="1"/>
      <c r="GP1117" s="1"/>
      <c r="GQ1117" s="1"/>
      <c r="GR1117" s="1"/>
      <c r="GS1117" s="1"/>
      <c r="GT1117" s="1"/>
      <c r="GU1117" s="1"/>
      <c r="GV1117" s="1"/>
      <c r="GW1117" s="1"/>
      <c r="GX1117" s="1"/>
      <c r="GY1117" s="1"/>
      <c r="GZ1117" s="1"/>
      <c r="HA1117" s="1"/>
      <c r="HB1117" s="1"/>
      <c r="HC1117" s="1"/>
      <c r="HD1117" s="1"/>
      <c r="HE1117" s="1"/>
      <c r="HF1117" s="1"/>
      <c r="HG1117" s="1"/>
      <c r="HH1117" s="1"/>
      <c r="HI1117" s="1"/>
      <c r="HJ1117" s="1"/>
      <c r="HK1117" s="1"/>
      <c r="HL1117" s="1"/>
      <c r="HM1117" s="1"/>
      <c r="HN1117" s="1"/>
      <c r="HO1117" s="1"/>
      <c r="HP1117" s="1"/>
      <c r="HQ1117" s="1"/>
      <c r="HR1117" s="1"/>
      <c r="HS1117" s="1"/>
      <c r="HT1117" s="1"/>
      <c r="HU1117" s="1"/>
      <c r="HV1117" s="1"/>
      <c r="HW1117" s="1"/>
      <c r="HX1117" s="1"/>
      <c r="HY1117" s="1"/>
      <c r="HZ1117" s="1"/>
      <c r="IA1117" s="1"/>
      <c r="IB1117" s="1"/>
      <c r="IC1117" s="1"/>
      <c r="ID1117" s="1"/>
      <c r="IE1117" s="1"/>
      <c r="IF1117" s="1"/>
      <c r="IG1117" s="1"/>
      <c r="IH1117" s="1"/>
      <c r="II1117" s="1"/>
      <c r="IJ1117" s="1"/>
      <c r="IK1117" s="1"/>
      <c r="IL1117" s="1"/>
      <c r="IM1117" s="1"/>
      <c r="IN1117" s="1"/>
      <c r="IO1117" s="1"/>
      <c r="IP1117" s="1"/>
      <c r="IQ1117" s="1"/>
      <c r="IR1117" s="1"/>
      <c r="IS1117" s="1"/>
      <c r="IT1117" s="1"/>
      <c r="IU1117" s="1"/>
      <c r="IV1117" s="1"/>
      <c r="IW1117" s="1"/>
      <c r="IX1117" s="1"/>
      <c r="IY1117" s="1"/>
      <c r="IZ1117" s="1"/>
      <c r="JA1117" s="1"/>
      <c r="JB1117" s="1"/>
      <c r="JC1117" s="1"/>
      <c r="JD1117" s="1"/>
      <c r="JE1117" s="1"/>
      <c r="JF1117" s="1"/>
      <c r="JG1117" s="1"/>
      <c r="JH1117" s="1"/>
      <c r="JI1117" s="1"/>
      <c r="JJ1117" s="1"/>
      <c r="JK1117" s="1"/>
      <c r="JL1117" s="1"/>
      <c r="JM1117" s="1"/>
      <c r="JN1117" s="1"/>
      <c r="JO1117" s="1"/>
      <c r="JP1117" s="1"/>
      <c r="JQ1117" s="1"/>
      <c r="JR1117" s="1"/>
      <c r="JS1117" s="1"/>
      <c r="JT1117" s="1"/>
      <c r="JU1117" s="1"/>
      <c r="JV1117" s="1"/>
    </row>
    <row r="1118" spans="1:282">
      <c r="A1118" s="1"/>
      <c r="B1118" s="1"/>
      <c r="C1118" s="1"/>
      <c r="D1118" s="1"/>
      <c r="E1118" s="1"/>
      <c r="F1118" s="36"/>
      <c r="G1118" s="36"/>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c r="CS1118" s="1"/>
      <c r="CT1118" s="1"/>
      <c r="CU1118" s="1"/>
      <c r="CV1118" s="1"/>
      <c r="CW1118" s="1"/>
      <c r="CX1118" s="1"/>
      <c r="CY1118" s="1"/>
      <c r="CZ1118" s="1"/>
      <c r="DA1118" s="1"/>
      <c r="DB1118" s="1"/>
      <c r="DC1118" s="1"/>
      <c r="DD1118" s="1"/>
      <c r="DE1118" s="1"/>
      <c r="DF1118" s="1"/>
      <c r="DG1118" s="1"/>
      <c r="DH1118" s="1"/>
      <c r="DI1118" s="1"/>
      <c r="DJ1118" s="1"/>
      <c r="DK1118" s="1"/>
      <c r="DL1118" s="1"/>
      <c r="DM1118" s="1"/>
      <c r="DN1118" s="1"/>
      <c r="DO1118" s="1"/>
      <c r="DP1118" s="1"/>
      <c r="DQ1118" s="1"/>
      <c r="DR1118" s="1"/>
      <c r="DS1118" s="1"/>
      <c r="DT1118" s="1"/>
      <c r="DU1118" s="1"/>
      <c r="DV1118" s="1"/>
      <c r="DW1118" s="1"/>
      <c r="DX1118" s="1"/>
      <c r="DY1118" s="1"/>
      <c r="DZ1118" s="1"/>
      <c r="EA1118" s="1"/>
      <c r="EB1118" s="1"/>
      <c r="EC1118" s="1"/>
      <c r="ED1118" s="1"/>
      <c r="EE1118" s="1"/>
      <c r="EF1118" s="1"/>
      <c r="EG1118" s="1"/>
      <c r="EH1118" s="1"/>
      <c r="EI1118" s="1"/>
      <c r="EJ1118" s="1"/>
      <c r="EK1118" s="1"/>
      <c r="EL1118" s="1"/>
      <c r="EM1118" s="1"/>
      <c r="EN1118" s="1"/>
      <c r="EO1118" s="1"/>
      <c r="EP1118" s="1"/>
      <c r="EQ1118" s="1"/>
      <c r="ER1118" s="1"/>
      <c r="ES1118" s="1"/>
      <c r="ET1118" s="1"/>
      <c r="EU1118" s="1"/>
      <c r="EV1118" s="1"/>
      <c r="EW1118" s="1"/>
      <c r="EX1118" s="1"/>
      <c r="EY1118" s="1"/>
      <c r="EZ1118" s="1"/>
      <c r="FA1118" s="1"/>
      <c r="FB1118" s="1"/>
      <c r="FC1118" s="1"/>
      <c r="FD1118" s="1"/>
      <c r="FE1118" s="1"/>
      <c r="FF1118" s="1"/>
      <c r="FG1118" s="1"/>
      <c r="FH1118" s="1"/>
      <c r="FI1118" s="1"/>
      <c r="FJ1118" s="1"/>
      <c r="FK1118" s="1"/>
      <c r="FL1118" s="1"/>
      <c r="FM1118" s="1"/>
      <c r="FN1118" s="1"/>
      <c r="FO1118" s="1"/>
      <c r="FP1118" s="1"/>
      <c r="FQ1118" s="1"/>
      <c r="FR1118" s="1"/>
      <c r="FS1118" s="1"/>
      <c r="FT1118" s="1"/>
      <c r="FU1118" s="1"/>
      <c r="FV1118" s="1"/>
      <c r="FW1118" s="1"/>
      <c r="FX1118" s="1"/>
      <c r="FY1118" s="1"/>
      <c r="FZ1118" s="1"/>
      <c r="GA1118" s="1"/>
      <c r="GB1118" s="1"/>
      <c r="GC1118" s="1"/>
      <c r="GD1118" s="1"/>
      <c r="GE1118" s="1"/>
      <c r="GF1118" s="1"/>
      <c r="GG1118" s="1"/>
      <c r="GH1118" s="1"/>
      <c r="GI1118" s="1"/>
      <c r="GJ1118" s="1"/>
      <c r="GK1118" s="1"/>
      <c r="GL1118" s="1"/>
      <c r="GM1118" s="1"/>
      <c r="GN1118" s="1"/>
      <c r="GO1118" s="1"/>
      <c r="GP1118" s="1"/>
      <c r="GQ1118" s="1"/>
      <c r="GR1118" s="1"/>
      <c r="GS1118" s="1"/>
      <c r="GT1118" s="1"/>
      <c r="GU1118" s="1"/>
      <c r="GV1118" s="1"/>
      <c r="GW1118" s="1"/>
      <c r="GX1118" s="1"/>
      <c r="GY1118" s="1"/>
      <c r="GZ1118" s="1"/>
      <c r="HA1118" s="1"/>
      <c r="HB1118" s="1"/>
      <c r="HC1118" s="1"/>
      <c r="HD1118" s="1"/>
      <c r="HE1118" s="1"/>
      <c r="HF1118" s="1"/>
      <c r="HG1118" s="1"/>
      <c r="HH1118" s="1"/>
      <c r="HI1118" s="1"/>
      <c r="HJ1118" s="1"/>
      <c r="HK1118" s="1"/>
      <c r="HL1118" s="1"/>
      <c r="HM1118" s="1"/>
      <c r="HN1118" s="1"/>
      <c r="HO1118" s="1"/>
      <c r="HP1118" s="1"/>
      <c r="HQ1118" s="1"/>
      <c r="HR1118" s="1"/>
      <c r="HS1118" s="1"/>
      <c r="HT1118" s="1"/>
      <c r="HU1118" s="1"/>
      <c r="HV1118" s="1"/>
      <c r="HW1118" s="1"/>
      <c r="HX1118" s="1"/>
      <c r="HY1118" s="1"/>
      <c r="HZ1118" s="1"/>
      <c r="IA1118" s="1"/>
      <c r="IB1118" s="1"/>
      <c r="IC1118" s="1"/>
      <c r="ID1118" s="1"/>
      <c r="IE1118" s="1"/>
      <c r="IF1118" s="1"/>
      <c r="IG1118" s="1"/>
      <c r="IH1118" s="1"/>
      <c r="II1118" s="1"/>
      <c r="IJ1118" s="1"/>
      <c r="IK1118" s="1"/>
      <c r="IL1118" s="1"/>
      <c r="IM1118" s="1"/>
      <c r="IN1118" s="1"/>
      <c r="IO1118" s="1"/>
      <c r="IP1118" s="1"/>
      <c r="IQ1118" s="1"/>
      <c r="IR1118" s="1"/>
      <c r="IS1118" s="1"/>
      <c r="IT1118" s="1"/>
      <c r="IU1118" s="1"/>
      <c r="IV1118" s="1"/>
      <c r="IW1118" s="1"/>
      <c r="IX1118" s="1"/>
      <c r="IY1118" s="1"/>
      <c r="IZ1118" s="1"/>
      <c r="JA1118" s="1"/>
      <c r="JB1118" s="1"/>
      <c r="JC1118" s="1"/>
      <c r="JD1118" s="1"/>
      <c r="JE1118" s="1"/>
      <c r="JF1118" s="1"/>
      <c r="JG1118" s="1"/>
      <c r="JH1118" s="1"/>
      <c r="JI1118" s="1"/>
      <c r="JJ1118" s="1"/>
      <c r="JK1118" s="1"/>
      <c r="JL1118" s="1"/>
      <c r="JM1118" s="1"/>
      <c r="JN1118" s="1"/>
      <c r="JO1118" s="1"/>
      <c r="JP1118" s="1"/>
      <c r="JQ1118" s="1"/>
      <c r="JR1118" s="1"/>
      <c r="JS1118" s="1"/>
      <c r="JT1118" s="1"/>
      <c r="JU1118" s="1"/>
      <c r="JV1118" s="1"/>
    </row>
    <row r="1119" spans="1:282">
      <c r="A1119" s="1"/>
      <c r="B1119" s="1"/>
      <c r="C1119" s="1"/>
      <c r="D1119" s="1"/>
      <c r="E1119" s="1"/>
      <c r="F1119" s="36"/>
      <c r="G1119" s="36"/>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c r="CS1119" s="1"/>
      <c r="CT1119" s="1"/>
      <c r="CU1119" s="1"/>
      <c r="CV1119" s="1"/>
      <c r="CW1119" s="1"/>
      <c r="CX1119" s="1"/>
      <c r="CY1119" s="1"/>
      <c r="CZ1119" s="1"/>
      <c r="DA1119" s="1"/>
      <c r="DB1119" s="1"/>
      <c r="DC1119" s="1"/>
      <c r="DD1119" s="1"/>
      <c r="DE1119" s="1"/>
      <c r="DF1119" s="1"/>
      <c r="DG1119" s="1"/>
      <c r="DH1119" s="1"/>
      <c r="DI1119" s="1"/>
      <c r="DJ1119" s="1"/>
      <c r="DK1119" s="1"/>
      <c r="DL1119" s="1"/>
      <c r="DM1119" s="1"/>
      <c r="DN1119" s="1"/>
      <c r="DO1119" s="1"/>
      <c r="DP1119" s="1"/>
      <c r="DQ1119" s="1"/>
      <c r="DR1119" s="1"/>
      <c r="DS1119" s="1"/>
      <c r="DT1119" s="1"/>
      <c r="DU1119" s="1"/>
      <c r="DV1119" s="1"/>
      <c r="DW1119" s="1"/>
      <c r="DX1119" s="1"/>
      <c r="DY1119" s="1"/>
      <c r="DZ1119" s="1"/>
      <c r="EA1119" s="1"/>
      <c r="EB1119" s="1"/>
      <c r="EC1119" s="1"/>
      <c r="ED1119" s="1"/>
      <c r="EE1119" s="1"/>
      <c r="EF1119" s="1"/>
      <c r="EG1119" s="1"/>
      <c r="EH1119" s="1"/>
      <c r="EI1119" s="1"/>
      <c r="EJ1119" s="1"/>
      <c r="EK1119" s="1"/>
      <c r="EL1119" s="1"/>
      <c r="EM1119" s="1"/>
      <c r="EN1119" s="1"/>
      <c r="EO1119" s="1"/>
      <c r="EP1119" s="1"/>
      <c r="EQ1119" s="1"/>
      <c r="ER1119" s="1"/>
      <c r="ES1119" s="1"/>
      <c r="ET1119" s="1"/>
      <c r="EU1119" s="1"/>
      <c r="EV1119" s="1"/>
      <c r="EW1119" s="1"/>
      <c r="EX1119" s="1"/>
      <c r="EY1119" s="1"/>
      <c r="EZ1119" s="1"/>
      <c r="FA1119" s="1"/>
      <c r="FB1119" s="1"/>
      <c r="FC1119" s="1"/>
      <c r="FD1119" s="1"/>
      <c r="FE1119" s="1"/>
      <c r="FF1119" s="1"/>
      <c r="FG1119" s="1"/>
      <c r="FH1119" s="1"/>
      <c r="FI1119" s="1"/>
      <c r="FJ1119" s="1"/>
      <c r="FK1119" s="1"/>
      <c r="FL1119" s="1"/>
      <c r="FM1119" s="1"/>
      <c r="FN1119" s="1"/>
      <c r="FO1119" s="1"/>
      <c r="FP1119" s="1"/>
      <c r="FQ1119" s="1"/>
      <c r="FR1119" s="1"/>
      <c r="FS1119" s="1"/>
      <c r="FT1119" s="1"/>
      <c r="FU1119" s="1"/>
      <c r="FV1119" s="1"/>
      <c r="FW1119" s="1"/>
      <c r="FX1119" s="1"/>
      <c r="FY1119" s="1"/>
      <c r="FZ1119" s="1"/>
      <c r="GA1119" s="1"/>
      <c r="GB1119" s="1"/>
      <c r="GC1119" s="1"/>
      <c r="GD1119" s="1"/>
      <c r="GE1119" s="1"/>
      <c r="GF1119" s="1"/>
      <c r="GG1119" s="1"/>
      <c r="GH1119" s="1"/>
      <c r="GI1119" s="1"/>
      <c r="GJ1119" s="1"/>
      <c r="GK1119" s="1"/>
      <c r="GL1119" s="1"/>
      <c r="GM1119" s="1"/>
      <c r="GN1119" s="1"/>
      <c r="GO1119" s="1"/>
      <c r="GP1119" s="1"/>
      <c r="GQ1119" s="1"/>
      <c r="GR1119" s="1"/>
      <c r="GS1119" s="1"/>
      <c r="GT1119" s="1"/>
      <c r="GU1119" s="1"/>
      <c r="GV1119" s="1"/>
      <c r="GW1119" s="1"/>
      <c r="GX1119" s="1"/>
      <c r="GY1119" s="1"/>
      <c r="GZ1119" s="1"/>
      <c r="HA1119" s="1"/>
      <c r="HB1119" s="1"/>
      <c r="HC1119" s="1"/>
      <c r="HD1119" s="1"/>
      <c r="HE1119" s="1"/>
      <c r="HF1119" s="1"/>
      <c r="HG1119" s="1"/>
      <c r="HH1119" s="1"/>
      <c r="HI1119" s="1"/>
      <c r="HJ1119" s="1"/>
      <c r="HK1119" s="1"/>
      <c r="HL1119" s="1"/>
      <c r="HM1119" s="1"/>
      <c r="HN1119" s="1"/>
      <c r="HO1119" s="1"/>
      <c r="HP1119" s="1"/>
      <c r="HQ1119" s="1"/>
      <c r="HR1119" s="1"/>
      <c r="HS1119" s="1"/>
      <c r="HT1119" s="1"/>
      <c r="HU1119" s="1"/>
      <c r="HV1119" s="1"/>
      <c r="HW1119" s="1"/>
      <c r="HX1119" s="1"/>
      <c r="HY1119" s="1"/>
      <c r="HZ1119" s="1"/>
      <c r="IA1119" s="1"/>
      <c r="IB1119" s="1"/>
      <c r="IC1119" s="1"/>
      <c r="ID1119" s="1"/>
      <c r="IE1119" s="1"/>
      <c r="IF1119" s="1"/>
      <c r="IG1119" s="1"/>
      <c r="IH1119" s="1"/>
      <c r="II1119" s="1"/>
      <c r="IJ1119" s="1"/>
      <c r="IK1119" s="1"/>
      <c r="IL1119" s="1"/>
      <c r="IM1119" s="1"/>
      <c r="IN1119" s="1"/>
      <c r="IO1119" s="1"/>
      <c r="IP1119" s="1"/>
      <c r="IQ1119" s="1"/>
      <c r="IR1119" s="1"/>
      <c r="IS1119" s="1"/>
      <c r="IT1119" s="1"/>
      <c r="IU1119" s="1"/>
      <c r="IV1119" s="1"/>
      <c r="IW1119" s="1"/>
      <c r="IX1119" s="1"/>
      <c r="IY1119" s="1"/>
      <c r="IZ1119" s="1"/>
      <c r="JA1119" s="1"/>
      <c r="JB1119" s="1"/>
      <c r="JC1119" s="1"/>
      <c r="JD1119" s="1"/>
      <c r="JE1119" s="1"/>
      <c r="JF1119" s="1"/>
      <c r="JG1119" s="1"/>
      <c r="JH1119" s="1"/>
      <c r="JI1119" s="1"/>
      <c r="JJ1119" s="1"/>
      <c r="JK1119" s="1"/>
      <c r="JL1119" s="1"/>
      <c r="JM1119" s="1"/>
      <c r="JN1119" s="1"/>
      <c r="JO1119" s="1"/>
      <c r="JP1119" s="1"/>
      <c r="JQ1119" s="1"/>
      <c r="JR1119" s="1"/>
      <c r="JS1119" s="1"/>
      <c r="JT1119" s="1"/>
      <c r="JU1119" s="1"/>
      <c r="JV1119" s="1"/>
    </row>
    <row r="1120" spans="1:282">
      <c r="A1120" s="1"/>
      <c r="B1120" s="1"/>
      <c r="C1120" s="1"/>
      <c r="D1120" s="1"/>
      <c r="E1120" s="1"/>
      <c r="F1120" s="36"/>
      <c r="G1120" s="36"/>
      <c r="H1120" s="1"/>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c r="CR1120" s="1"/>
      <c r="CS1120" s="1"/>
      <c r="CT1120" s="1"/>
      <c r="CU1120" s="1"/>
      <c r="CV1120" s="1"/>
      <c r="CW1120" s="1"/>
      <c r="CX1120" s="1"/>
      <c r="CY1120" s="1"/>
      <c r="CZ1120" s="1"/>
      <c r="DA1120" s="1"/>
      <c r="DB1120" s="1"/>
      <c r="DC1120" s="1"/>
      <c r="DD1120" s="1"/>
      <c r="DE1120" s="1"/>
      <c r="DF1120" s="1"/>
      <c r="DG1120" s="1"/>
      <c r="DH1120" s="1"/>
      <c r="DI1120" s="1"/>
      <c r="DJ1120" s="1"/>
      <c r="DK1120" s="1"/>
      <c r="DL1120" s="1"/>
      <c r="DM1120" s="1"/>
      <c r="DN1120" s="1"/>
      <c r="DO1120" s="1"/>
      <c r="DP1120" s="1"/>
      <c r="DQ1120" s="1"/>
      <c r="DR1120" s="1"/>
      <c r="DS1120" s="1"/>
      <c r="DT1120" s="1"/>
      <c r="DU1120" s="1"/>
      <c r="DV1120" s="1"/>
      <c r="DW1120" s="1"/>
      <c r="DX1120" s="1"/>
      <c r="DY1120" s="1"/>
      <c r="DZ1120" s="1"/>
      <c r="EA1120" s="1"/>
      <c r="EB1120" s="1"/>
      <c r="EC1120" s="1"/>
      <c r="ED1120" s="1"/>
      <c r="EE1120" s="1"/>
      <c r="EF1120" s="1"/>
      <c r="EG1120" s="1"/>
      <c r="EH1120" s="1"/>
      <c r="EI1120" s="1"/>
      <c r="EJ1120" s="1"/>
      <c r="EK1120" s="1"/>
      <c r="EL1120" s="1"/>
      <c r="EM1120" s="1"/>
      <c r="EN1120" s="1"/>
      <c r="EO1120" s="1"/>
      <c r="EP1120" s="1"/>
      <c r="EQ1120" s="1"/>
      <c r="ER1120" s="1"/>
      <c r="ES1120" s="1"/>
      <c r="ET1120" s="1"/>
      <c r="EU1120" s="1"/>
      <c r="EV1120" s="1"/>
      <c r="EW1120" s="1"/>
      <c r="EX1120" s="1"/>
      <c r="EY1120" s="1"/>
      <c r="EZ1120" s="1"/>
      <c r="FA1120" s="1"/>
      <c r="FB1120" s="1"/>
      <c r="FC1120" s="1"/>
      <c r="FD1120" s="1"/>
      <c r="FE1120" s="1"/>
      <c r="FF1120" s="1"/>
      <c r="FG1120" s="1"/>
      <c r="FH1120" s="1"/>
      <c r="FI1120" s="1"/>
      <c r="FJ1120" s="1"/>
      <c r="FK1120" s="1"/>
      <c r="FL1120" s="1"/>
      <c r="FM1120" s="1"/>
      <c r="FN1120" s="1"/>
      <c r="FO1120" s="1"/>
      <c r="FP1120" s="1"/>
      <c r="FQ1120" s="1"/>
      <c r="FR1120" s="1"/>
      <c r="FS1120" s="1"/>
      <c r="FT1120" s="1"/>
      <c r="FU1120" s="1"/>
      <c r="FV1120" s="1"/>
      <c r="FW1120" s="1"/>
      <c r="FX1120" s="1"/>
      <c r="FY1120" s="1"/>
      <c r="FZ1120" s="1"/>
      <c r="GA1120" s="1"/>
      <c r="GB1120" s="1"/>
      <c r="GC1120" s="1"/>
      <c r="GD1120" s="1"/>
      <c r="GE1120" s="1"/>
      <c r="GF1120" s="1"/>
      <c r="GG1120" s="1"/>
      <c r="GH1120" s="1"/>
      <c r="GI1120" s="1"/>
      <c r="GJ1120" s="1"/>
      <c r="GK1120" s="1"/>
      <c r="GL1120" s="1"/>
      <c r="GM1120" s="1"/>
      <c r="GN1120" s="1"/>
      <c r="GO1120" s="1"/>
      <c r="GP1120" s="1"/>
      <c r="GQ1120" s="1"/>
      <c r="GR1120" s="1"/>
      <c r="GS1120" s="1"/>
      <c r="GT1120" s="1"/>
      <c r="GU1120" s="1"/>
      <c r="GV1120" s="1"/>
      <c r="GW1120" s="1"/>
      <c r="GX1120" s="1"/>
      <c r="GY1120" s="1"/>
      <c r="GZ1120" s="1"/>
      <c r="HA1120" s="1"/>
      <c r="HB1120" s="1"/>
      <c r="HC1120" s="1"/>
      <c r="HD1120" s="1"/>
      <c r="HE1120" s="1"/>
      <c r="HF1120" s="1"/>
      <c r="HG1120" s="1"/>
      <c r="HH1120" s="1"/>
      <c r="HI1120" s="1"/>
      <c r="HJ1120" s="1"/>
      <c r="HK1120" s="1"/>
      <c r="HL1120" s="1"/>
      <c r="HM1120" s="1"/>
      <c r="HN1120" s="1"/>
      <c r="HO1120" s="1"/>
      <c r="HP1120" s="1"/>
      <c r="HQ1120" s="1"/>
      <c r="HR1120" s="1"/>
      <c r="HS1120" s="1"/>
      <c r="HT1120" s="1"/>
      <c r="HU1120" s="1"/>
      <c r="HV1120" s="1"/>
      <c r="HW1120" s="1"/>
      <c r="HX1120" s="1"/>
      <c r="HY1120" s="1"/>
      <c r="HZ1120" s="1"/>
      <c r="IA1120" s="1"/>
      <c r="IB1120" s="1"/>
      <c r="IC1120" s="1"/>
      <c r="ID1120" s="1"/>
      <c r="IE1120" s="1"/>
      <c r="IF1120" s="1"/>
      <c r="IG1120" s="1"/>
      <c r="IH1120" s="1"/>
      <c r="II1120" s="1"/>
      <c r="IJ1120" s="1"/>
      <c r="IK1120" s="1"/>
      <c r="IL1120" s="1"/>
      <c r="IM1120" s="1"/>
      <c r="IN1120" s="1"/>
      <c r="IO1120" s="1"/>
      <c r="IP1120" s="1"/>
      <c r="IQ1120" s="1"/>
      <c r="IR1120" s="1"/>
      <c r="IS1120" s="1"/>
      <c r="IT1120" s="1"/>
      <c r="IU1120" s="1"/>
      <c r="IV1120" s="1"/>
      <c r="IW1120" s="1"/>
      <c r="IX1120" s="1"/>
      <c r="IY1120" s="1"/>
      <c r="IZ1120" s="1"/>
      <c r="JA1120" s="1"/>
      <c r="JB1120" s="1"/>
      <c r="JC1120" s="1"/>
      <c r="JD1120" s="1"/>
      <c r="JE1120" s="1"/>
      <c r="JF1120" s="1"/>
      <c r="JG1120" s="1"/>
      <c r="JH1120" s="1"/>
      <c r="JI1120" s="1"/>
      <c r="JJ1120" s="1"/>
      <c r="JK1120" s="1"/>
      <c r="JL1120" s="1"/>
      <c r="JM1120" s="1"/>
      <c r="JN1120" s="1"/>
      <c r="JO1120" s="1"/>
      <c r="JP1120" s="1"/>
      <c r="JQ1120" s="1"/>
      <c r="JR1120" s="1"/>
      <c r="JS1120" s="1"/>
      <c r="JT1120" s="1"/>
      <c r="JU1120" s="1"/>
      <c r="JV1120" s="1"/>
    </row>
    <row r="1121" spans="1:282">
      <c r="A1121" s="1"/>
      <c r="B1121" s="1"/>
      <c r="C1121" s="1"/>
      <c r="D1121" s="1"/>
      <c r="E1121" s="1"/>
      <c r="F1121" s="36"/>
      <c r="G1121" s="36"/>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c r="BJ1121" s="1"/>
      <c r="BK1121" s="1"/>
      <c r="BL1121" s="1"/>
      <c r="BM1121" s="1"/>
      <c r="BN1121" s="1"/>
      <c r="BO1121" s="1"/>
      <c r="BP1121" s="1"/>
      <c r="BQ1121" s="1"/>
      <c r="BR1121" s="1"/>
      <c r="BS1121" s="1"/>
      <c r="BT1121" s="1"/>
      <c r="BU1121" s="1"/>
      <c r="BV1121" s="1"/>
      <c r="BW1121" s="1"/>
      <c r="BX1121" s="1"/>
      <c r="BY1121" s="1"/>
      <c r="BZ1121" s="1"/>
      <c r="CA1121" s="1"/>
      <c r="CB1121" s="1"/>
      <c r="CC1121" s="1"/>
      <c r="CD1121" s="1"/>
      <c r="CE1121" s="1"/>
      <c r="CF1121" s="1"/>
      <c r="CG1121" s="1"/>
      <c r="CH1121" s="1"/>
      <c r="CI1121" s="1"/>
      <c r="CJ1121" s="1"/>
      <c r="CK1121" s="1"/>
      <c r="CL1121" s="1"/>
      <c r="CM1121" s="1"/>
      <c r="CN1121" s="1"/>
      <c r="CO1121" s="1"/>
      <c r="CP1121" s="1"/>
      <c r="CQ1121" s="1"/>
      <c r="CR1121" s="1"/>
      <c r="CS1121" s="1"/>
      <c r="CT1121" s="1"/>
      <c r="CU1121" s="1"/>
      <c r="CV1121" s="1"/>
      <c r="CW1121" s="1"/>
      <c r="CX1121" s="1"/>
      <c r="CY1121" s="1"/>
      <c r="CZ1121" s="1"/>
      <c r="DA1121" s="1"/>
      <c r="DB1121" s="1"/>
      <c r="DC1121" s="1"/>
      <c r="DD1121" s="1"/>
      <c r="DE1121" s="1"/>
      <c r="DF1121" s="1"/>
      <c r="DG1121" s="1"/>
      <c r="DH1121" s="1"/>
      <c r="DI1121" s="1"/>
      <c r="DJ1121" s="1"/>
      <c r="DK1121" s="1"/>
      <c r="DL1121" s="1"/>
      <c r="DM1121" s="1"/>
      <c r="DN1121" s="1"/>
      <c r="DO1121" s="1"/>
      <c r="DP1121" s="1"/>
      <c r="DQ1121" s="1"/>
      <c r="DR1121" s="1"/>
      <c r="DS1121" s="1"/>
      <c r="DT1121" s="1"/>
      <c r="DU1121" s="1"/>
      <c r="DV1121" s="1"/>
      <c r="DW1121" s="1"/>
      <c r="DX1121" s="1"/>
      <c r="DY1121" s="1"/>
      <c r="DZ1121" s="1"/>
      <c r="EA1121" s="1"/>
      <c r="EB1121" s="1"/>
      <c r="EC1121" s="1"/>
      <c r="ED1121" s="1"/>
      <c r="EE1121" s="1"/>
      <c r="EF1121" s="1"/>
      <c r="EG1121" s="1"/>
      <c r="EH1121" s="1"/>
      <c r="EI1121" s="1"/>
      <c r="EJ1121" s="1"/>
      <c r="EK1121" s="1"/>
      <c r="EL1121" s="1"/>
      <c r="EM1121" s="1"/>
      <c r="EN1121" s="1"/>
      <c r="EO1121" s="1"/>
      <c r="EP1121" s="1"/>
      <c r="EQ1121" s="1"/>
      <c r="ER1121" s="1"/>
      <c r="ES1121" s="1"/>
      <c r="ET1121" s="1"/>
      <c r="EU1121" s="1"/>
      <c r="EV1121" s="1"/>
      <c r="EW1121" s="1"/>
      <c r="EX1121" s="1"/>
      <c r="EY1121" s="1"/>
      <c r="EZ1121" s="1"/>
      <c r="FA1121" s="1"/>
      <c r="FB1121" s="1"/>
      <c r="FC1121" s="1"/>
      <c r="FD1121" s="1"/>
      <c r="FE1121" s="1"/>
      <c r="FF1121" s="1"/>
      <c r="FG1121" s="1"/>
      <c r="FH1121" s="1"/>
      <c r="FI1121" s="1"/>
      <c r="FJ1121" s="1"/>
      <c r="FK1121" s="1"/>
      <c r="FL1121" s="1"/>
      <c r="FM1121" s="1"/>
      <c r="FN1121" s="1"/>
      <c r="FO1121" s="1"/>
      <c r="FP1121" s="1"/>
      <c r="FQ1121" s="1"/>
      <c r="FR1121" s="1"/>
      <c r="FS1121" s="1"/>
      <c r="FT1121" s="1"/>
      <c r="FU1121" s="1"/>
      <c r="FV1121" s="1"/>
      <c r="FW1121" s="1"/>
      <c r="FX1121" s="1"/>
      <c r="FY1121" s="1"/>
      <c r="FZ1121" s="1"/>
      <c r="GA1121" s="1"/>
      <c r="GB1121" s="1"/>
      <c r="GC1121" s="1"/>
      <c r="GD1121" s="1"/>
      <c r="GE1121" s="1"/>
      <c r="GF1121" s="1"/>
      <c r="GG1121" s="1"/>
      <c r="GH1121" s="1"/>
      <c r="GI1121" s="1"/>
      <c r="GJ1121" s="1"/>
      <c r="GK1121" s="1"/>
      <c r="GL1121" s="1"/>
      <c r="GM1121" s="1"/>
      <c r="GN1121" s="1"/>
      <c r="GO1121" s="1"/>
      <c r="GP1121" s="1"/>
      <c r="GQ1121" s="1"/>
      <c r="GR1121" s="1"/>
      <c r="GS1121" s="1"/>
      <c r="GT1121" s="1"/>
      <c r="GU1121" s="1"/>
      <c r="GV1121" s="1"/>
      <c r="GW1121" s="1"/>
      <c r="GX1121" s="1"/>
      <c r="GY1121" s="1"/>
      <c r="GZ1121" s="1"/>
      <c r="HA1121" s="1"/>
      <c r="HB1121" s="1"/>
      <c r="HC1121" s="1"/>
      <c r="HD1121" s="1"/>
      <c r="HE1121" s="1"/>
      <c r="HF1121" s="1"/>
      <c r="HG1121" s="1"/>
      <c r="HH1121" s="1"/>
      <c r="HI1121" s="1"/>
      <c r="HJ1121" s="1"/>
      <c r="HK1121" s="1"/>
      <c r="HL1121" s="1"/>
      <c r="HM1121" s="1"/>
      <c r="HN1121" s="1"/>
      <c r="HO1121" s="1"/>
      <c r="HP1121" s="1"/>
      <c r="HQ1121" s="1"/>
      <c r="HR1121" s="1"/>
      <c r="HS1121" s="1"/>
      <c r="HT1121" s="1"/>
      <c r="HU1121" s="1"/>
      <c r="HV1121" s="1"/>
      <c r="HW1121" s="1"/>
      <c r="HX1121" s="1"/>
      <c r="HY1121" s="1"/>
      <c r="HZ1121" s="1"/>
      <c r="IA1121" s="1"/>
      <c r="IB1121" s="1"/>
      <c r="IC1121" s="1"/>
      <c r="ID1121" s="1"/>
      <c r="IE1121" s="1"/>
      <c r="IF1121" s="1"/>
      <c r="IG1121" s="1"/>
      <c r="IH1121" s="1"/>
      <c r="II1121" s="1"/>
      <c r="IJ1121" s="1"/>
      <c r="IK1121" s="1"/>
      <c r="IL1121" s="1"/>
      <c r="IM1121" s="1"/>
      <c r="IN1121" s="1"/>
      <c r="IO1121" s="1"/>
      <c r="IP1121" s="1"/>
      <c r="IQ1121" s="1"/>
      <c r="IR1121" s="1"/>
      <c r="IS1121" s="1"/>
      <c r="IT1121" s="1"/>
      <c r="IU1121" s="1"/>
      <c r="IV1121" s="1"/>
      <c r="IW1121" s="1"/>
      <c r="IX1121" s="1"/>
      <c r="IY1121" s="1"/>
      <c r="IZ1121" s="1"/>
      <c r="JA1121" s="1"/>
      <c r="JB1121" s="1"/>
      <c r="JC1121" s="1"/>
      <c r="JD1121" s="1"/>
      <c r="JE1121" s="1"/>
      <c r="JF1121" s="1"/>
      <c r="JG1121" s="1"/>
      <c r="JH1121" s="1"/>
      <c r="JI1121" s="1"/>
      <c r="JJ1121" s="1"/>
      <c r="JK1121" s="1"/>
      <c r="JL1121" s="1"/>
      <c r="JM1121" s="1"/>
      <c r="JN1121" s="1"/>
      <c r="JO1121" s="1"/>
      <c r="JP1121" s="1"/>
      <c r="JQ1121" s="1"/>
      <c r="JR1121" s="1"/>
      <c r="JS1121" s="1"/>
      <c r="JT1121" s="1"/>
      <c r="JU1121" s="1"/>
      <c r="JV1121" s="1"/>
    </row>
    <row r="1122" spans="1:282">
      <c r="A1122" s="1"/>
      <c r="B1122" s="1"/>
      <c r="C1122" s="1"/>
      <c r="D1122" s="1"/>
      <c r="E1122" s="1"/>
      <c r="F1122" s="36"/>
      <c r="G1122" s="36"/>
      <c r="H1122" s="1"/>
      <c r="I1122" s="1"/>
      <c r="J1122" s="1"/>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c r="BJ1122" s="1"/>
      <c r="BK1122" s="1"/>
      <c r="BL1122" s="1"/>
      <c r="BM1122" s="1"/>
      <c r="BN1122" s="1"/>
      <c r="BO1122" s="1"/>
      <c r="BP1122" s="1"/>
      <c r="BQ1122" s="1"/>
      <c r="BR1122" s="1"/>
      <c r="BS1122" s="1"/>
      <c r="BT1122" s="1"/>
      <c r="BU1122" s="1"/>
      <c r="BV1122" s="1"/>
      <c r="BW1122" s="1"/>
      <c r="BX1122" s="1"/>
      <c r="BY1122" s="1"/>
      <c r="BZ1122" s="1"/>
      <c r="CA1122" s="1"/>
      <c r="CB1122" s="1"/>
      <c r="CC1122" s="1"/>
      <c r="CD1122" s="1"/>
      <c r="CE1122" s="1"/>
      <c r="CF1122" s="1"/>
      <c r="CG1122" s="1"/>
      <c r="CH1122" s="1"/>
      <c r="CI1122" s="1"/>
      <c r="CJ1122" s="1"/>
      <c r="CK1122" s="1"/>
      <c r="CL1122" s="1"/>
      <c r="CM1122" s="1"/>
      <c r="CN1122" s="1"/>
      <c r="CO1122" s="1"/>
      <c r="CP1122" s="1"/>
      <c r="CQ1122" s="1"/>
      <c r="CR1122" s="1"/>
      <c r="CS1122" s="1"/>
      <c r="CT1122" s="1"/>
      <c r="CU1122" s="1"/>
      <c r="CV1122" s="1"/>
      <c r="CW1122" s="1"/>
      <c r="CX1122" s="1"/>
      <c r="CY1122" s="1"/>
      <c r="CZ1122" s="1"/>
      <c r="DA1122" s="1"/>
      <c r="DB1122" s="1"/>
      <c r="DC1122" s="1"/>
      <c r="DD1122" s="1"/>
      <c r="DE1122" s="1"/>
      <c r="DF1122" s="1"/>
      <c r="DG1122" s="1"/>
      <c r="DH1122" s="1"/>
      <c r="DI1122" s="1"/>
      <c r="DJ1122" s="1"/>
      <c r="DK1122" s="1"/>
      <c r="DL1122" s="1"/>
      <c r="DM1122" s="1"/>
      <c r="DN1122" s="1"/>
      <c r="DO1122" s="1"/>
      <c r="DP1122" s="1"/>
      <c r="DQ1122" s="1"/>
      <c r="DR1122" s="1"/>
      <c r="DS1122" s="1"/>
      <c r="DT1122" s="1"/>
      <c r="DU1122" s="1"/>
      <c r="DV1122" s="1"/>
      <c r="DW1122" s="1"/>
      <c r="DX1122" s="1"/>
      <c r="DY1122" s="1"/>
      <c r="DZ1122" s="1"/>
      <c r="EA1122" s="1"/>
      <c r="EB1122" s="1"/>
      <c r="EC1122" s="1"/>
      <c r="ED1122" s="1"/>
      <c r="EE1122" s="1"/>
      <c r="EF1122" s="1"/>
      <c r="EG1122" s="1"/>
      <c r="EH1122" s="1"/>
      <c r="EI1122" s="1"/>
      <c r="EJ1122" s="1"/>
      <c r="EK1122" s="1"/>
      <c r="EL1122" s="1"/>
      <c r="EM1122" s="1"/>
      <c r="EN1122" s="1"/>
      <c r="EO1122" s="1"/>
      <c r="EP1122" s="1"/>
      <c r="EQ1122" s="1"/>
      <c r="ER1122" s="1"/>
      <c r="ES1122" s="1"/>
      <c r="ET1122" s="1"/>
      <c r="EU1122" s="1"/>
      <c r="EV1122" s="1"/>
      <c r="EW1122" s="1"/>
      <c r="EX1122" s="1"/>
      <c r="EY1122" s="1"/>
      <c r="EZ1122" s="1"/>
      <c r="FA1122" s="1"/>
      <c r="FB1122" s="1"/>
      <c r="FC1122" s="1"/>
      <c r="FD1122" s="1"/>
      <c r="FE1122" s="1"/>
      <c r="FF1122" s="1"/>
      <c r="FG1122" s="1"/>
      <c r="FH1122" s="1"/>
      <c r="FI1122" s="1"/>
      <c r="FJ1122" s="1"/>
      <c r="FK1122" s="1"/>
      <c r="FL1122" s="1"/>
      <c r="FM1122" s="1"/>
      <c r="FN1122" s="1"/>
      <c r="FO1122" s="1"/>
      <c r="FP1122" s="1"/>
      <c r="FQ1122" s="1"/>
      <c r="FR1122" s="1"/>
      <c r="FS1122" s="1"/>
      <c r="FT1122" s="1"/>
      <c r="FU1122" s="1"/>
      <c r="FV1122" s="1"/>
      <c r="FW1122" s="1"/>
      <c r="FX1122" s="1"/>
      <c r="FY1122" s="1"/>
      <c r="FZ1122" s="1"/>
      <c r="GA1122" s="1"/>
      <c r="GB1122" s="1"/>
      <c r="GC1122" s="1"/>
      <c r="GD1122" s="1"/>
      <c r="GE1122" s="1"/>
      <c r="GF1122" s="1"/>
      <c r="GG1122" s="1"/>
      <c r="GH1122" s="1"/>
      <c r="GI1122" s="1"/>
      <c r="GJ1122" s="1"/>
      <c r="GK1122" s="1"/>
      <c r="GL1122" s="1"/>
      <c r="GM1122" s="1"/>
      <c r="GN1122" s="1"/>
      <c r="GO1122" s="1"/>
      <c r="GP1122" s="1"/>
      <c r="GQ1122" s="1"/>
      <c r="GR1122" s="1"/>
      <c r="GS1122" s="1"/>
      <c r="GT1122" s="1"/>
      <c r="GU1122" s="1"/>
      <c r="GV1122" s="1"/>
      <c r="GW1122" s="1"/>
      <c r="GX1122" s="1"/>
      <c r="GY1122" s="1"/>
      <c r="GZ1122" s="1"/>
      <c r="HA1122" s="1"/>
      <c r="HB1122" s="1"/>
      <c r="HC1122" s="1"/>
      <c r="HD1122" s="1"/>
      <c r="HE1122" s="1"/>
      <c r="HF1122" s="1"/>
      <c r="HG1122" s="1"/>
      <c r="HH1122" s="1"/>
      <c r="HI1122" s="1"/>
      <c r="HJ1122" s="1"/>
      <c r="HK1122" s="1"/>
      <c r="HL1122" s="1"/>
      <c r="HM1122" s="1"/>
      <c r="HN1122" s="1"/>
      <c r="HO1122" s="1"/>
      <c r="HP1122" s="1"/>
      <c r="HQ1122" s="1"/>
      <c r="HR1122" s="1"/>
      <c r="HS1122" s="1"/>
      <c r="HT1122" s="1"/>
      <c r="HU1122" s="1"/>
      <c r="HV1122" s="1"/>
      <c r="HW1122" s="1"/>
      <c r="HX1122" s="1"/>
      <c r="HY1122" s="1"/>
      <c r="HZ1122" s="1"/>
      <c r="IA1122" s="1"/>
      <c r="IB1122" s="1"/>
      <c r="IC1122" s="1"/>
      <c r="ID1122" s="1"/>
      <c r="IE1122" s="1"/>
      <c r="IF1122" s="1"/>
      <c r="IG1122" s="1"/>
      <c r="IH1122" s="1"/>
      <c r="II1122" s="1"/>
      <c r="IJ1122" s="1"/>
      <c r="IK1122" s="1"/>
      <c r="IL1122" s="1"/>
      <c r="IM1122" s="1"/>
      <c r="IN1122" s="1"/>
      <c r="IO1122" s="1"/>
      <c r="IP1122" s="1"/>
      <c r="IQ1122" s="1"/>
      <c r="IR1122" s="1"/>
      <c r="IS1122" s="1"/>
      <c r="IT1122" s="1"/>
      <c r="IU1122" s="1"/>
      <c r="IV1122" s="1"/>
      <c r="IW1122" s="1"/>
      <c r="IX1122" s="1"/>
      <c r="IY1122" s="1"/>
      <c r="IZ1122" s="1"/>
      <c r="JA1122" s="1"/>
      <c r="JB1122" s="1"/>
      <c r="JC1122" s="1"/>
      <c r="JD1122" s="1"/>
      <c r="JE1122" s="1"/>
      <c r="JF1122" s="1"/>
      <c r="JG1122" s="1"/>
      <c r="JH1122" s="1"/>
      <c r="JI1122" s="1"/>
      <c r="JJ1122" s="1"/>
      <c r="JK1122" s="1"/>
      <c r="JL1122" s="1"/>
      <c r="JM1122" s="1"/>
      <c r="JN1122" s="1"/>
      <c r="JO1122" s="1"/>
      <c r="JP1122" s="1"/>
      <c r="JQ1122" s="1"/>
      <c r="JR1122" s="1"/>
      <c r="JS1122" s="1"/>
      <c r="JT1122" s="1"/>
      <c r="JU1122" s="1"/>
      <c r="JV1122" s="1"/>
    </row>
    <row r="1123" spans="1:282">
      <c r="A1123" s="1"/>
      <c r="B1123" s="1"/>
      <c r="C1123" s="1"/>
      <c r="D1123" s="1"/>
      <c r="E1123" s="1"/>
      <c r="F1123" s="36"/>
      <c r="G1123" s="36"/>
      <c r="H1123" s="1"/>
      <c r="I1123" s="1"/>
      <c r="J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c r="BJ1123" s="1"/>
      <c r="BK1123" s="1"/>
      <c r="BL1123" s="1"/>
      <c r="BM1123" s="1"/>
      <c r="BN1123" s="1"/>
      <c r="BO1123" s="1"/>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c r="CM1123" s="1"/>
      <c r="CN1123" s="1"/>
      <c r="CO1123" s="1"/>
      <c r="CP1123" s="1"/>
      <c r="CQ1123" s="1"/>
      <c r="CR1123" s="1"/>
      <c r="CS1123" s="1"/>
      <c r="CT1123" s="1"/>
      <c r="CU1123" s="1"/>
      <c r="CV1123" s="1"/>
      <c r="CW1123" s="1"/>
      <c r="CX1123" s="1"/>
      <c r="CY1123" s="1"/>
      <c r="CZ1123" s="1"/>
      <c r="DA1123" s="1"/>
      <c r="DB1123" s="1"/>
      <c r="DC1123" s="1"/>
      <c r="DD1123" s="1"/>
      <c r="DE1123" s="1"/>
      <c r="DF1123" s="1"/>
      <c r="DG1123" s="1"/>
      <c r="DH1123" s="1"/>
      <c r="DI1123" s="1"/>
      <c r="DJ1123" s="1"/>
      <c r="DK1123" s="1"/>
      <c r="DL1123" s="1"/>
      <c r="DM1123" s="1"/>
      <c r="DN1123" s="1"/>
      <c r="DO1123" s="1"/>
      <c r="DP1123" s="1"/>
      <c r="DQ1123" s="1"/>
      <c r="DR1123" s="1"/>
      <c r="DS1123" s="1"/>
      <c r="DT1123" s="1"/>
      <c r="DU1123" s="1"/>
      <c r="DV1123" s="1"/>
      <c r="DW1123" s="1"/>
      <c r="DX1123" s="1"/>
      <c r="DY1123" s="1"/>
      <c r="DZ1123" s="1"/>
      <c r="EA1123" s="1"/>
      <c r="EB1123" s="1"/>
      <c r="EC1123" s="1"/>
      <c r="ED1123" s="1"/>
      <c r="EE1123" s="1"/>
      <c r="EF1123" s="1"/>
      <c r="EG1123" s="1"/>
      <c r="EH1123" s="1"/>
      <c r="EI1123" s="1"/>
      <c r="EJ1123" s="1"/>
      <c r="EK1123" s="1"/>
      <c r="EL1123" s="1"/>
      <c r="EM1123" s="1"/>
      <c r="EN1123" s="1"/>
      <c r="EO1123" s="1"/>
      <c r="EP1123" s="1"/>
      <c r="EQ1123" s="1"/>
      <c r="ER1123" s="1"/>
      <c r="ES1123" s="1"/>
      <c r="ET1123" s="1"/>
      <c r="EU1123" s="1"/>
      <c r="EV1123" s="1"/>
      <c r="EW1123" s="1"/>
      <c r="EX1123" s="1"/>
      <c r="EY1123" s="1"/>
      <c r="EZ1123" s="1"/>
      <c r="FA1123" s="1"/>
      <c r="FB1123" s="1"/>
      <c r="FC1123" s="1"/>
      <c r="FD1123" s="1"/>
      <c r="FE1123" s="1"/>
      <c r="FF1123" s="1"/>
      <c r="FG1123" s="1"/>
      <c r="FH1123" s="1"/>
      <c r="FI1123" s="1"/>
      <c r="FJ1123" s="1"/>
      <c r="FK1123" s="1"/>
      <c r="FL1123" s="1"/>
      <c r="FM1123" s="1"/>
      <c r="FN1123" s="1"/>
      <c r="FO1123" s="1"/>
      <c r="FP1123" s="1"/>
      <c r="FQ1123" s="1"/>
      <c r="FR1123" s="1"/>
      <c r="FS1123" s="1"/>
      <c r="FT1123" s="1"/>
      <c r="FU1123" s="1"/>
      <c r="FV1123" s="1"/>
      <c r="FW1123" s="1"/>
      <c r="FX1123" s="1"/>
      <c r="FY1123" s="1"/>
      <c r="FZ1123" s="1"/>
      <c r="GA1123" s="1"/>
      <c r="GB1123" s="1"/>
      <c r="GC1123" s="1"/>
      <c r="GD1123" s="1"/>
      <c r="GE1123" s="1"/>
      <c r="GF1123" s="1"/>
      <c r="GG1123" s="1"/>
      <c r="GH1123" s="1"/>
      <c r="GI1123" s="1"/>
      <c r="GJ1123" s="1"/>
      <c r="GK1123" s="1"/>
      <c r="GL1123" s="1"/>
      <c r="GM1123" s="1"/>
      <c r="GN1123" s="1"/>
      <c r="GO1123" s="1"/>
      <c r="GP1123" s="1"/>
      <c r="GQ1123" s="1"/>
      <c r="GR1123" s="1"/>
      <c r="GS1123" s="1"/>
      <c r="GT1123" s="1"/>
      <c r="GU1123" s="1"/>
      <c r="GV1123" s="1"/>
      <c r="GW1123" s="1"/>
      <c r="GX1123" s="1"/>
      <c r="GY1123" s="1"/>
      <c r="GZ1123" s="1"/>
      <c r="HA1123" s="1"/>
      <c r="HB1123" s="1"/>
      <c r="HC1123" s="1"/>
      <c r="HD1123" s="1"/>
      <c r="HE1123" s="1"/>
      <c r="HF1123" s="1"/>
      <c r="HG1123" s="1"/>
      <c r="HH1123" s="1"/>
      <c r="HI1123" s="1"/>
      <c r="HJ1123" s="1"/>
      <c r="HK1123" s="1"/>
      <c r="HL1123" s="1"/>
      <c r="HM1123" s="1"/>
      <c r="HN1123" s="1"/>
      <c r="HO1123" s="1"/>
      <c r="HP1123" s="1"/>
      <c r="HQ1123" s="1"/>
      <c r="HR1123" s="1"/>
      <c r="HS1123" s="1"/>
      <c r="HT1123" s="1"/>
      <c r="HU1123" s="1"/>
      <c r="HV1123" s="1"/>
      <c r="HW1123" s="1"/>
      <c r="HX1123" s="1"/>
      <c r="HY1123" s="1"/>
      <c r="HZ1123" s="1"/>
      <c r="IA1123" s="1"/>
      <c r="IB1123" s="1"/>
      <c r="IC1123" s="1"/>
      <c r="ID1123" s="1"/>
      <c r="IE1123" s="1"/>
      <c r="IF1123" s="1"/>
      <c r="IG1123" s="1"/>
      <c r="IH1123" s="1"/>
      <c r="II1123" s="1"/>
      <c r="IJ1123" s="1"/>
      <c r="IK1123" s="1"/>
      <c r="IL1123" s="1"/>
      <c r="IM1123" s="1"/>
      <c r="IN1123" s="1"/>
      <c r="IO1123" s="1"/>
      <c r="IP1123" s="1"/>
      <c r="IQ1123" s="1"/>
      <c r="IR1123" s="1"/>
      <c r="IS1123" s="1"/>
      <c r="IT1123" s="1"/>
      <c r="IU1123" s="1"/>
      <c r="IV1123" s="1"/>
      <c r="IW1123" s="1"/>
      <c r="IX1123" s="1"/>
      <c r="IY1123" s="1"/>
      <c r="IZ1123" s="1"/>
      <c r="JA1123" s="1"/>
      <c r="JB1123" s="1"/>
      <c r="JC1123" s="1"/>
      <c r="JD1123" s="1"/>
      <c r="JE1123" s="1"/>
      <c r="JF1123" s="1"/>
      <c r="JG1123" s="1"/>
      <c r="JH1123" s="1"/>
      <c r="JI1123" s="1"/>
      <c r="JJ1123" s="1"/>
      <c r="JK1123" s="1"/>
      <c r="JL1123" s="1"/>
      <c r="JM1123" s="1"/>
      <c r="JN1123" s="1"/>
      <c r="JO1123" s="1"/>
      <c r="JP1123" s="1"/>
      <c r="JQ1123" s="1"/>
      <c r="JR1123" s="1"/>
      <c r="JS1123" s="1"/>
      <c r="JT1123" s="1"/>
      <c r="JU1123" s="1"/>
      <c r="JV1123" s="1"/>
    </row>
    <row r="1124" spans="1:282">
      <c r="A1124" s="1"/>
      <c r="B1124" s="1"/>
      <c r="C1124" s="1"/>
      <c r="D1124" s="1"/>
      <c r="E1124" s="1"/>
      <c r="F1124" s="36"/>
      <c r="G1124" s="36"/>
      <c r="H1124" s="1"/>
      <c r="I1124" s="1"/>
      <c r="J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c r="BJ1124" s="1"/>
      <c r="BK1124" s="1"/>
      <c r="BL1124" s="1"/>
      <c r="BM1124" s="1"/>
      <c r="BN1124" s="1"/>
      <c r="BO1124" s="1"/>
      <c r="BP1124" s="1"/>
      <c r="BQ1124" s="1"/>
      <c r="BR1124" s="1"/>
      <c r="BS1124" s="1"/>
      <c r="BT1124" s="1"/>
      <c r="BU1124" s="1"/>
      <c r="BV1124" s="1"/>
      <c r="BW1124" s="1"/>
      <c r="BX1124" s="1"/>
      <c r="BY1124" s="1"/>
      <c r="BZ1124" s="1"/>
      <c r="CA1124" s="1"/>
      <c r="CB1124" s="1"/>
      <c r="CC1124" s="1"/>
      <c r="CD1124" s="1"/>
      <c r="CE1124" s="1"/>
      <c r="CF1124" s="1"/>
      <c r="CG1124" s="1"/>
      <c r="CH1124" s="1"/>
      <c r="CI1124" s="1"/>
      <c r="CJ1124" s="1"/>
      <c r="CK1124" s="1"/>
      <c r="CL1124" s="1"/>
      <c r="CM1124" s="1"/>
      <c r="CN1124" s="1"/>
      <c r="CO1124" s="1"/>
      <c r="CP1124" s="1"/>
      <c r="CQ1124" s="1"/>
      <c r="CR1124" s="1"/>
      <c r="CS1124" s="1"/>
      <c r="CT1124" s="1"/>
      <c r="CU1124" s="1"/>
      <c r="CV1124" s="1"/>
      <c r="CW1124" s="1"/>
      <c r="CX1124" s="1"/>
      <c r="CY1124" s="1"/>
      <c r="CZ1124" s="1"/>
      <c r="DA1124" s="1"/>
      <c r="DB1124" s="1"/>
      <c r="DC1124" s="1"/>
      <c r="DD1124" s="1"/>
      <c r="DE1124" s="1"/>
      <c r="DF1124" s="1"/>
      <c r="DG1124" s="1"/>
      <c r="DH1124" s="1"/>
      <c r="DI1124" s="1"/>
      <c r="DJ1124" s="1"/>
      <c r="DK1124" s="1"/>
      <c r="DL1124" s="1"/>
      <c r="DM1124" s="1"/>
      <c r="DN1124" s="1"/>
      <c r="DO1124" s="1"/>
      <c r="DP1124" s="1"/>
      <c r="DQ1124" s="1"/>
      <c r="DR1124" s="1"/>
      <c r="DS1124" s="1"/>
      <c r="DT1124" s="1"/>
      <c r="DU1124" s="1"/>
      <c r="DV1124" s="1"/>
      <c r="DW1124" s="1"/>
      <c r="DX1124" s="1"/>
      <c r="DY1124" s="1"/>
      <c r="DZ1124" s="1"/>
      <c r="EA1124" s="1"/>
      <c r="EB1124" s="1"/>
      <c r="EC1124" s="1"/>
      <c r="ED1124" s="1"/>
      <c r="EE1124" s="1"/>
      <c r="EF1124" s="1"/>
      <c r="EG1124" s="1"/>
      <c r="EH1124" s="1"/>
      <c r="EI1124" s="1"/>
      <c r="EJ1124" s="1"/>
      <c r="EK1124" s="1"/>
      <c r="EL1124" s="1"/>
      <c r="EM1124" s="1"/>
      <c r="EN1124" s="1"/>
      <c r="EO1124" s="1"/>
      <c r="EP1124" s="1"/>
      <c r="EQ1124" s="1"/>
      <c r="ER1124" s="1"/>
      <c r="ES1124" s="1"/>
      <c r="ET1124" s="1"/>
      <c r="EU1124" s="1"/>
      <c r="EV1124" s="1"/>
      <c r="EW1124" s="1"/>
      <c r="EX1124" s="1"/>
      <c r="EY1124" s="1"/>
      <c r="EZ1124" s="1"/>
      <c r="FA1124" s="1"/>
      <c r="FB1124" s="1"/>
      <c r="FC1124" s="1"/>
      <c r="FD1124" s="1"/>
      <c r="FE1124" s="1"/>
      <c r="FF1124" s="1"/>
      <c r="FG1124" s="1"/>
      <c r="FH1124" s="1"/>
      <c r="FI1124" s="1"/>
      <c r="FJ1124" s="1"/>
      <c r="FK1124" s="1"/>
      <c r="FL1124" s="1"/>
      <c r="FM1124" s="1"/>
      <c r="FN1124" s="1"/>
      <c r="FO1124" s="1"/>
      <c r="FP1124" s="1"/>
      <c r="FQ1124" s="1"/>
      <c r="FR1124" s="1"/>
      <c r="FS1124" s="1"/>
      <c r="FT1124" s="1"/>
      <c r="FU1124" s="1"/>
      <c r="FV1124" s="1"/>
      <c r="FW1124" s="1"/>
      <c r="FX1124" s="1"/>
      <c r="FY1124" s="1"/>
      <c r="FZ1124" s="1"/>
      <c r="GA1124" s="1"/>
      <c r="GB1124" s="1"/>
      <c r="GC1124" s="1"/>
      <c r="GD1124" s="1"/>
      <c r="GE1124" s="1"/>
      <c r="GF1124" s="1"/>
      <c r="GG1124" s="1"/>
      <c r="GH1124" s="1"/>
      <c r="GI1124" s="1"/>
      <c r="GJ1124" s="1"/>
      <c r="GK1124" s="1"/>
      <c r="GL1124" s="1"/>
      <c r="GM1124" s="1"/>
      <c r="GN1124" s="1"/>
      <c r="GO1124" s="1"/>
      <c r="GP1124" s="1"/>
      <c r="GQ1124" s="1"/>
      <c r="GR1124" s="1"/>
      <c r="GS1124" s="1"/>
      <c r="GT1124" s="1"/>
      <c r="GU1124" s="1"/>
      <c r="GV1124" s="1"/>
      <c r="GW1124" s="1"/>
      <c r="GX1124" s="1"/>
      <c r="GY1124" s="1"/>
      <c r="GZ1124" s="1"/>
      <c r="HA1124" s="1"/>
      <c r="HB1124" s="1"/>
      <c r="HC1124" s="1"/>
      <c r="HD1124" s="1"/>
      <c r="HE1124" s="1"/>
      <c r="HF1124" s="1"/>
      <c r="HG1124" s="1"/>
      <c r="HH1124" s="1"/>
      <c r="HI1124" s="1"/>
      <c r="HJ1124" s="1"/>
      <c r="HK1124" s="1"/>
      <c r="HL1124" s="1"/>
      <c r="HM1124" s="1"/>
      <c r="HN1124" s="1"/>
      <c r="HO1124" s="1"/>
      <c r="HP1124" s="1"/>
      <c r="HQ1124" s="1"/>
      <c r="HR1124" s="1"/>
      <c r="HS1124" s="1"/>
      <c r="HT1124" s="1"/>
      <c r="HU1124" s="1"/>
      <c r="HV1124" s="1"/>
      <c r="HW1124" s="1"/>
      <c r="HX1124" s="1"/>
      <c r="HY1124" s="1"/>
      <c r="HZ1124" s="1"/>
      <c r="IA1124" s="1"/>
      <c r="IB1124" s="1"/>
      <c r="IC1124" s="1"/>
      <c r="ID1124" s="1"/>
      <c r="IE1124" s="1"/>
      <c r="IF1124" s="1"/>
      <c r="IG1124" s="1"/>
      <c r="IH1124" s="1"/>
      <c r="II1124" s="1"/>
      <c r="IJ1124" s="1"/>
      <c r="IK1124" s="1"/>
      <c r="IL1124" s="1"/>
      <c r="IM1124" s="1"/>
      <c r="IN1124" s="1"/>
      <c r="IO1124" s="1"/>
      <c r="IP1124" s="1"/>
      <c r="IQ1124" s="1"/>
      <c r="IR1124" s="1"/>
      <c r="IS1124" s="1"/>
      <c r="IT1124" s="1"/>
      <c r="IU1124" s="1"/>
      <c r="IV1124" s="1"/>
      <c r="IW1124" s="1"/>
      <c r="IX1124" s="1"/>
      <c r="IY1124" s="1"/>
      <c r="IZ1124" s="1"/>
      <c r="JA1124" s="1"/>
      <c r="JB1124" s="1"/>
      <c r="JC1124" s="1"/>
      <c r="JD1124" s="1"/>
      <c r="JE1124" s="1"/>
      <c r="JF1124" s="1"/>
      <c r="JG1124" s="1"/>
      <c r="JH1124" s="1"/>
      <c r="JI1124" s="1"/>
      <c r="JJ1124" s="1"/>
      <c r="JK1124" s="1"/>
      <c r="JL1124" s="1"/>
      <c r="JM1124" s="1"/>
      <c r="JN1124" s="1"/>
      <c r="JO1124" s="1"/>
      <c r="JP1124" s="1"/>
      <c r="JQ1124" s="1"/>
      <c r="JR1124" s="1"/>
      <c r="JS1124" s="1"/>
      <c r="JT1124" s="1"/>
      <c r="JU1124" s="1"/>
      <c r="JV1124" s="1"/>
    </row>
  </sheetData>
  <phoneticPr fontId="3" type="noConversion"/>
  <conditionalFormatting sqref="D8:D78">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78"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defaultColWidth="10.875" defaultRowHeight="15"/>
  <cols>
    <col min="1" max="1" width="3.375" style="6" customWidth="1"/>
    <col min="2" max="2" width="88.375" style="6" customWidth="1"/>
    <col min="3" max="16384" width="10.875" style="6"/>
  </cols>
  <sheetData>
    <row r="2" spans="2:2" ht="102">
      <c r="B2" s="5" t="s">
        <v>90</v>
      </c>
    </row>
    <row r="4" spans="2:2">
      <c r="B4" s="6" t="s">
        <v>91</v>
      </c>
    </row>
  </sheetData>
  <pageMargins left="0.7" right="0.7" top="0.75" bottom="0.75" header="0.3" footer="0.3"/>
  <pageSetup orientation="portrait" horizontalDpi="0" verticalDpi="0" r:id="rId1"/>
</worksheet>
</file>

<file path=docMetadata/LabelInfo.xml><?xml version="1.0" encoding="utf-8"?>
<clbl:labelList xmlns:clbl="http://schemas.microsoft.com/office/2020/mipLabelMetadata">
  <clbl:label id="{185bf030-fb3e-4e19-b4da-6419ce38d46d}" enabled="1" method="Standard" siteId="{b586fd95-a90e-488c-a32b-2c6581fc05c9}"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Smartsheet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Ragazhinskaya</dc:creator>
  <cp:keywords/>
  <dc:description/>
  <cp:lastModifiedBy/>
  <cp:revision/>
  <dcterms:created xsi:type="dcterms:W3CDTF">2015-02-24T20:54:23Z</dcterms:created>
  <dcterms:modified xsi:type="dcterms:W3CDTF">2025-12-03T03:07:19Z</dcterms:modified>
  <cp:category/>
  <cp:contentStatus/>
</cp:coreProperties>
</file>