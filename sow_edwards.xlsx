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Tsunamis/"/>
    </mc:Choice>
  </mc:AlternateContent>
  <xr:revisionPtr revIDLastSave="0" documentId="13_ncr:1_{2E631AE7-0CA7-984B-819B-6792175E12CB}" xr6:coauthVersionLast="47" xr6:coauthVersionMax="47" xr10:uidLastSave="{00000000-0000-0000-0000-000000000000}"/>
  <bookViews>
    <workbookView xWindow="940" yWindow="2500" windowWidth="28580" windowHeight="20940" tabRatio="500" xr2:uid="{00000000-000D-0000-FFFF-FFFF00000000}"/>
  </bookViews>
  <sheets>
    <sheet name="Tsunamis" sheetId="10" r:id="rId1"/>
    <sheet name="-Disclaimer-" sheetId="2" r:id="rId2"/>
  </sheets>
  <definedNames>
    <definedName name="_xlnm.Print_Area" localSheetId="0">Tsunamis!$B$1:$I$45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16" i="10" l="1"/>
  <c r="H15" i="10"/>
  <c r="H9" i="10"/>
  <c r="H43" i="10"/>
  <c r="H29" i="10"/>
  <c r="H27" i="10" l="1"/>
  <c r="H20" i="10"/>
  <c r="H19" i="10"/>
  <c r="H18" i="10"/>
  <c r="F8" i="10"/>
  <c r="G8" i="10"/>
  <c r="G17" i="10" l="1"/>
  <c r="F17" i="10"/>
  <c r="F28" i="10"/>
  <c r="G28" i="10"/>
  <c r="H5" i="10"/>
  <c r="H17" i="10" l="1"/>
  <c r="H28" i="10"/>
  <c r="H8" i="10"/>
</calcChain>
</file>

<file path=xl/sharedStrings.xml><?xml version="1.0" encoding="utf-8"?>
<sst xmlns="http://schemas.openxmlformats.org/spreadsheetml/2006/main" count="142" uniqueCount="106">
  <si>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</si>
  <si>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</si>
  <si>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</si>
  <si>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</si>
  <si>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</si>
  <si>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</si>
  <si>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</si>
  <si>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</si>
  <si>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</si>
  <si>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</si>
  <si>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</si>
  <si>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</si>
  <si>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</si>
  <si>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</si>
  <si>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</si>
  <si>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</si>
  <si>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</si>
  <si>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Tsunamis Statement of Work</t>
  </si>
  <si>
    <t>Help Desk</t>
  </si>
  <si>
    <t>Eric</t>
  </si>
  <si>
    <t>Jayce</t>
  </si>
  <si>
    <t>Tre'sure</t>
  </si>
  <si>
    <t>Eric (Lead), Jayce (Tester), Tre'sure (SWE), no Designer</t>
  </si>
  <si>
    <r>
      <rPr>
        <sz val="11"/>
        <color rgb="FFFF0000"/>
        <rFont val="Century Gothic"/>
        <family val="1"/>
      </rPr>
      <t>#</t>
    </r>
    <r>
      <rPr>
        <sz val="11"/>
        <color theme="1"/>
        <rFont val="Century Gothic"/>
        <family val="1"/>
      </rPr>
      <t xml:space="preserve"> Update README with prioritized projects</t>
    </r>
  </si>
  <si>
    <t>SHA b6fa387</t>
  </si>
  <si>
    <t>SHA 9eaf8aa</t>
  </si>
  <si>
    <t>Project Development Team</t>
  </si>
  <si>
    <t>SHA 2b67803, d259f2b</t>
  </si>
  <si>
    <t>SHA c962f98, d3153c0</t>
  </si>
  <si>
    <t>SHA 4decf9d</t>
  </si>
  <si>
    <t>I had more commits for this use case, but I had an issue merging the branch after the test fiolder was added.</t>
  </si>
  <si>
    <t>SHA 7e8229d</t>
  </si>
  <si>
    <t>Create initial driver and Scraper class to scrape (unprocessed) academic calendar</t>
  </si>
  <si>
    <t>Create function that returns the drop dates for each semester</t>
  </si>
  <si>
    <t>Create test for functions in PerformScraping.py</t>
  </si>
  <si>
    <t>Test resources.py</t>
  </si>
  <si>
    <t>Test every resources link to ensure nothing is broken</t>
  </si>
  <si>
    <t>Create tests for drop slip class</t>
  </si>
  <si>
    <t>Create tests for schedule class</t>
  </si>
  <si>
    <t>Update checklist for team member contributions</t>
  </si>
  <si>
    <t>1(i)Verify that entering a invalid input will show a "No courses found" message instead of ending the code.</t>
  </si>
  <si>
    <t>4(d)Validate course code input: ensure the input is not empty and follows a pattern like SUBJECT + NUMBER.</t>
  </si>
  <si>
    <t>SHA abe82b5</t>
  </si>
  <si>
    <t>4(e)]Implement search function that takes the course code and checks the current semester’s course offerings.</t>
  </si>
  <si>
    <t>SHA 41bb0ed</t>
  </si>
  <si>
    <t>SHA  612067d</t>
  </si>
  <si>
    <t>5(b)Build a resources module with URLs, icons, and categories.</t>
  </si>
  <si>
    <t>SHA 8e0ad41</t>
  </si>
  <si>
    <t>5(a)Show quick-link resources so I don’t have to search XULA’s website.</t>
  </si>
  <si>
    <t>SHA cd55f92</t>
  </si>
  <si>
    <t>5(c)Click “Drop Deadline Calendar” and see the dates instantly.</t>
  </si>
  <si>
    <t>SHA d6d3fdc</t>
  </si>
  <si>
    <t>5(f)Make professor office hours and emails displayed for common CPSC courses.</t>
  </si>
  <si>
    <t>SHA e4b6a80</t>
  </si>
  <si>
    <t>5(j)Store the resources in a JSON or CSV file so they’re easy to update later.</t>
  </si>
  <si>
    <t>SHA 6a2774e</t>
  </si>
  <si>
    <t>Create Course data class (strangely your data class includes 2 functions that should be in the Course class), also called in the driver</t>
  </si>
  <si>
    <t>4(f) Display results for offered course: show “Course is offered this semester” and list all matching sections (CRN, days/times, instructor, seats). 4(g)Display message for not offered / not found course: show a clear message when no matching course exists for the semester. 4(h)Handle “all sections full” case: when course is offered but has no open seats, show a message like “All sections are full.”</t>
  </si>
  <si>
    <t xml:space="preserve">#Course Offering User Story </t>
  </si>
  <si>
    <t>#GPA Calculator User Story</t>
  </si>
  <si>
    <t xml:space="preserve">#Project Maintenance (SDD, README, tests folder)  </t>
  </si>
  <si>
    <t xml:space="preserve">#Install &amp; configure requests + bs4 </t>
  </si>
  <si>
    <t>SHA a88abe2</t>
  </si>
  <si>
    <t>#Fix/organize test folder for test discovery</t>
  </si>
  <si>
    <t>#1 1(a)The student types the subject in the search bar. 1(b)The page displays a scrollable list of courses for that subject. 1(c)The student clicks on the desired course. 1(d)The student clicks on the desired course. 1(e)The card displays the course description, CRN, prerequisites, and the add deadline. 1(f)Implement a function that reads course data from a CSV/JSON file. 1(g)Implement a search function that filters courses by a subject code and returns them sorted by course number. 1(h)Implement a "view_details" function that , given a selected, prints and shows the desciption, CRN, prerequisites, and add/drop dates. 1(i)Verify that entering a invalid input will show a "No courses found" message instead of ending the code.</t>
  </si>
  <si>
    <t>6(a)CreAte a schedule class. 6(b)Create a drop slip class. 6(c)Create a function that writes to a drop slip file. 6(d)Retrieve the CRN and all other necessary information for a course. 6(e)]Check if the student is registered for the course. 6(f)The app prompts the user to enter the course that they wish to drop.</t>
  </si>
  <si>
    <t>SHA 8e4d561, 9ec9ea1, 3e514a0, 7ef6f19</t>
  </si>
  <si>
    <r>
      <t xml:space="preserve">SHA </t>
    </r>
    <r>
      <rPr>
        <sz val="10"/>
        <color rgb="FFFF0000"/>
        <rFont val="Century Gothic"/>
        <family val="1"/>
      </rPr>
      <t>4f6dff1</t>
    </r>
  </si>
  <si>
    <r>
      <t xml:space="preserve">SHA </t>
    </r>
    <r>
      <rPr>
        <sz val="10"/>
        <color rgb="FFFF0000"/>
        <rFont val="Century Gothic"/>
        <family val="1"/>
      </rPr>
      <t>e45fb67</t>
    </r>
    <r>
      <rPr>
        <sz val="10"/>
        <color theme="1"/>
        <rFont val="Century Gothic"/>
        <family val="1"/>
      </rPr>
      <t xml:space="preserve">, </t>
    </r>
    <r>
      <rPr>
        <sz val="10"/>
        <color theme="8"/>
        <rFont val="Century Gothic"/>
        <family val="1"/>
      </rPr>
      <t>064665a</t>
    </r>
    <r>
      <rPr>
        <sz val="10"/>
        <color theme="1"/>
        <rFont val="Century Gothic"/>
        <family val="1"/>
      </rPr>
      <t xml:space="preserve">, </t>
    </r>
    <r>
      <rPr>
        <sz val="10"/>
        <color theme="8"/>
        <rFont val="Century Gothic"/>
        <family val="1"/>
      </rPr>
      <t>62aa1ef</t>
    </r>
  </si>
  <si>
    <r>
      <t xml:space="preserve">SHA </t>
    </r>
    <r>
      <rPr>
        <sz val="10"/>
        <color rgb="FFFF0000"/>
        <rFont val="Century Gothic"/>
        <family val="1"/>
      </rPr>
      <t>4f6dff</t>
    </r>
    <r>
      <rPr>
        <sz val="10"/>
        <color theme="1"/>
        <rFont val="Century Gothic"/>
        <family val="1"/>
      </rPr>
      <t xml:space="preserve">, ffeadef, </t>
    </r>
  </si>
  <si>
    <t>Course
load_courses(), filter_by_subject(), prompt_subject(), show_course_list(), select_course(), show_course_details(), run_crn_lookup()
data/courses.csv
main()</t>
  </si>
  <si>
    <t>copied from Line 29</t>
  </si>
  <si>
    <t>only white space</t>
  </si>
  <si>
    <t>validate_course_code()</t>
  </si>
  <si>
    <t>file renamed
DropSlip (__init__, to_text, write_drop_slip_to_file)
Schedule (__init__, add_course, is_registered)
load_course_from_csv()
called create_drop_slip</t>
  </si>
  <si>
    <t>find_sections_for_code()</t>
  </si>
  <si>
    <t>check_course_availability()</t>
  </si>
  <si>
    <t>Resource
load_default_resources()</t>
  </si>
  <si>
    <t>show_resources_menu()</t>
  </si>
  <si>
    <t>handle_resource_selection()
get_drop_deadline_info()</t>
  </si>
  <si>
    <t>show_professor_contacts()
load_professor_contacts()</t>
  </si>
  <si>
    <t>resources.json()
load_resources_from_json()</t>
  </si>
  <si>
    <t>Dr. Edwards got User Story # from Trello.</t>
  </si>
  <si>
    <t>Scraper (getAcademicCalander) and call in main()</t>
  </si>
  <si>
    <t>getDropDates() and call in main(), edit main()</t>
  </si>
  <si>
    <t>ScraperTest() using mocks, test_getAcademicCalander_no_url_provided(), test_getAcademicCalander_invalid_url()
test_get_Drop_Dates_succes(), test_getDropDates_invalid_rows()</t>
  </si>
  <si>
    <r>
      <t xml:space="preserve">SHA 715e50c, cbcede1, 7d24d14, c449c6f, 91dc76b, </t>
    </r>
    <r>
      <rPr>
        <sz val="10"/>
        <color rgb="FFFF0000"/>
        <rFont val="Century Gothic"/>
        <family val="1"/>
      </rPr>
      <t>4009e4d</t>
    </r>
  </si>
  <si>
    <r>
      <t xml:space="preserve">SHA </t>
    </r>
    <r>
      <rPr>
        <sz val="10"/>
        <color rgb="FFFF0000"/>
        <rFont val="Century Gothic"/>
        <family val="1"/>
      </rPr>
      <t>ef8e7cc</t>
    </r>
    <r>
      <rPr>
        <sz val="10"/>
        <color theme="1"/>
        <rFont val="Century Gothic"/>
        <family val="1"/>
      </rPr>
      <t>, 91ecc54, 1c3a8a5, 72fd372, e155579, fc7bd08</t>
    </r>
  </si>
  <si>
    <t>test_returns_list(), test_resource_count(), test_items_are_resources()</t>
  </si>
  <si>
    <t>link_requests(), test_functional_links(), test_nonfunctional_links()</t>
  </si>
  <si>
    <r>
      <t xml:space="preserve">SHA </t>
    </r>
    <r>
      <rPr>
        <sz val="10"/>
        <color rgb="FFFF0000"/>
        <rFont val="Century Gothic"/>
        <family val="1"/>
      </rPr>
      <t>327df74</t>
    </r>
    <r>
      <rPr>
        <sz val="10"/>
        <color theme="1"/>
        <rFont val="Century Gothic"/>
        <family val="1"/>
      </rPr>
      <t xml:space="preserve">, 721c5cd, 8d15cfc, d0b2b22, 971b233, 917d06b, </t>
    </r>
  </si>
  <si>
    <t>test_to_text(), test_to_text_empty_fields(), test_write_drop_slip_to_file()</t>
  </si>
  <si>
    <t>test_add_course(), test_is_registered(), test_is_registered_false(), test_load_course_from_csv_course_found(), test_load_course_from_csv_course_not_found()</t>
  </si>
  <si>
    <t>check</t>
  </si>
  <si>
    <t>README</t>
  </si>
  <si>
    <r>
      <t xml:space="preserve">SHA </t>
    </r>
    <r>
      <rPr>
        <sz val="10"/>
        <color rgb="FFFF0000"/>
        <rFont val="Century Gothic"/>
        <family val="1"/>
      </rPr>
      <t>215af22</t>
    </r>
    <r>
      <rPr>
        <sz val="10"/>
        <color rgb="FF000000"/>
        <rFont val="Century Gothic"/>
        <family val="1"/>
      </rPr>
      <t xml:space="preserve"> </t>
    </r>
  </si>
  <si>
    <r>
      <t>SHA 620f505 ,</t>
    </r>
    <r>
      <rPr>
        <sz val="10"/>
        <color rgb="FFFF0000"/>
        <rFont val="Century Gothic"/>
        <family val="1"/>
      </rPr>
      <t>fbf1d88</t>
    </r>
    <r>
      <rPr>
        <sz val="10"/>
        <color rgb="FF000000"/>
        <rFont val="Century Gothic"/>
        <family val="1"/>
      </rPr>
      <t xml:space="preserve"> ,090a8ae, c3b5e05</t>
    </r>
  </si>
  <si>
    <t>convert_grade_to_points(), calculate_gpa(), run_gpa_calculator()
test_single_course_gpa(), test_multiple_courses_gpa(), test_invalid_grade_raises(), test_missing_credit_hours_raises(), test_zero_total_hours_raises(), test_mismatched_list_lengths_raises()
check
README</t>
  </si>
  <si>
    <r>
      <t xml:space="preserve">SHA </t>
    </r>
    <r>
      <rPr>
        <sz val="10"/>
        <color rgb="FFFF0000"/>
        <rFont val="Century Gothic"/>
        <family val="1"/>
      </rPr>
      <t>7a59184</t>
    </r>
  </si>
  <si>
    <t>driver.py (main, shw_drop_datesrun_course_offering_check)</t>
  </si>
  <si>
    <r>
      <t xml:space="preserve">SHA </t>
    </r>
    <r>
      <rPr>
        <sz val="10"/>
        <color rgb="FFFF0000"/>
        <rFont val="Century Gothic"/>
        <family val="1"/>
      </rPr>
      <t>266c6647</t>
    </r>
    <r>
      <rPr>
        <sz val="10"/>
        <color theme="1"/>
        <rFont val="Century Gothic"/>
        <family val="2"/>
      </rPr>
      <t xml:space="preserve">, </t>
    </r>
    <r>
      <rPr>
        <sz val="10"/>
        <color rgb="FFFF0000"/>
        <rFont val="Century Gothic"/>
        <family val="1"/>
      </rPr>
      <t>a98aef9</t>
    </r>
    <r>
      <rPr>
        <sz val="10"/>
        <color theme="1"/>
        <rFont val="Century Gothic"/>
        <family val="2"/>
      </rPr>
      <t xml:space="preserve">, </t>
    </r>
    <r>
      <rPr>
        <sz val="10"/>
        <color rgb="FFFF0000"/>
        <rFont val="Century Gothic"/>
        <family val="1"/>
      </rPr>
      <t>a277a4</t>
    </r>
  </si>
  <si>
    <t>SHA e45fbb67. The SHA was supposed to contain a data/couses.csv file. However it is blank. That particular push created the file but did not upload the given data. The csv file was made to contain example courses for our application to pull from. The original SHA that was given was in error. Instead of double checking, I left the SHA that was already there, which was incorrect. At the time, I did not see that the SHA was blank.
SHA 62aa1ef.  This was originally a driver that I was using for my original code for the crn_check.py file. At the start of the project, I thought it was best to keep everything separate for the sake of organization , but after one of our team meetings, I realized that since we needed to run our code from one command, my driver was not only irrelevant , but would also mess up the code. It was originally in the SOW due to the fact that it was the first code for that case , but upon changing it, the SHA should have been removed and replaced with the one listed below.</t>
  </si>
  <si>
    <t>SHA ffeadef.  The data from my previous SRC file was transferred to data/courses.csv which contains the data used to run the application for our code.  This is the corrected SHA which shows the code that I created to implement my work into the driver.
SHA 4f6dff1 or ffeadef.  I was trying to show my corrected crn_check.py code and instead the push was empty. Although I am not sure why, is was a mistake on my end and I have sent the correct SHA below. The commit was meant to show a clean, working code for Use Case 1. It was intended to include the code and the functions implemented in the driver.
SHA 4f6dff1 or 127108b.  This SHA was supposed to add in the testing code so that if could verify and produce a “Invalid Input”  message. As stated earlier, the SHA was empty and blank. I have attached the correct test SHA below.</t>
  </si>
  <si>
    <t>TestCrnCheck</t>
  </si>
  <si>
    <t>SHA 127108b</t>
  </si>
  <si>
    <t>SHA 4f6dff1 or 12718b.  This SHA was supposed to add in the testing code so that if could verify and produce a “Invalid Input”  message. As stated earlier, the SHA was empty and blank. I have attached the correct test SHA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</si>
</sst>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5"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
      <sz val="11"/>
      <color theme="1"/>
      <name val="Century Gothic"/>
      <family val="2"/>
    </font>
    <font>
      <sz val="10"/>
      <color theme="1"/>
      <name val="Century Gothic"/>
      <family val="2"/>
    </font>
    <font>
      <sz val="10"/>
      <color theme="8"/>
      <name val="Century Gothic"/>
      <family val="1"/>
    </font>
    <font>
      <strike/>
      <sz val="11"/>
      <color theme="1"/>
      <name val="Century Gothic"/>
      <family val="1"/>
    </font>
    <font>
      <sz val="10"/>
      <name val="Century Gothic"/>
      <family val="1"/>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rgb="FFD1EEFF"/>
        <bgColor indexed="64"/>
      </patternFill>
    </fill>
    <fill>
      <patternFill patternType="solid">
        <fgColor rgb="FFB3E481"/>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71">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3" borderId="7" xfId="0" applyFont="1" applyFill="1" applyBorder="1" applyAlignment="1">
      <alignment horizontal="left" vertical="center" wrapText="1" indent="1"/>
    </xf>
    <xf numFmtId="0" fontId="6" fillId="4"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8" borderId="9" xfId="0" applyNumberFormat="1" applyFont="1" applyFill="1" applyBorder="1" applyAlignment="1">
      <alignment horizontal="left" vertical="center" wrapText="1" indent="1"/>
    </xf>
    <xf numFmtId="0" fontId="13" fillId="2" borderId="0" xfId="0" applyFont="1" applyFill="1" applyAlignment="1">
      <alignment vertical="center"/>
    </xf>
    <xf numFmtId="0" fontId="11" fillId="3" borderId="7" xfId="0"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7" borderId="7" xfId="0" applyFont="1" applyFill="1" applyBorder="1" applyAlignment="1">
      <alignment horizontal="right" vertical="center" wrapText="1" indent="1"/>
    </xf>
    <xf numFmtId="0" fontId="11" fillId="7"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1" fontId="4" fillId="9" borderId="1" xfId="0" applyNumberFormat="1" applyFont="1" applyFill="1" applyBorder="1" applyAlignment="1">
      <alignment horizontal="right" vertical="center" wrapText="1" indent="1"/>
    </xf>
    <xf numFmtId="1" fontId="4" fillId="10"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6" borderId="4" xfId="0" applyFont="1" applyFill="1" applyBorder="1" applyAlignment="1">
      <alignment horizontal="left" vertical="center" wrapText="1" indent="1"/>
    </xf>
    <xf numFmtId="0" fontId="15" fillId="6" borderId="4" xfId="0" applyFont="1" applyFill="1" applyBorder="1" applyAlignment="1">
      <alignment horizontal="left" vertical="center" wrapText="1" indent="1" readingOrder="1"/>
    </xf>
    <xf numFmtId="164" fontId="16" fillId="6" borderId="4" xfId="0" applyNumberFormat="1" applyFont="1" applyFill="1" applyBorder="1" applyAlignment="1">
      <alignment horizontal="left" vertical="center" wrapText="1" indent="1"/>
    </xf>
    <xf numFmtId="164" fontId="14" fillId="6" borderId="4" xfId="0" applyNumberFormat="1" applyFont="1" applyFill="1" applyBorder="1" applyAlignment="1">
      <alignment horizontal="right" vertical="center" wrapText="1" indent="1" readingOrder="1"/>
    </xf>
    <xf numFmtId="164" fontId="14" fillId="6" borderId="4" xfId="0" applyNumberFormat="1" applyFont="1" applyFill="1" applyBorder="1" applyAlignment="1">
      <alignment horizontal="right" vertical="center" wrapText="1" indent="1"/>
    </xf>
    <xf numFmtId="0" fontId="10" fillId="6"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5" borderId="4" xfId="0" applyFont="1" applyFill="1" applyBorder="1" applyAlignment="1">
      <alignment horizontal="left" vertical="center" wrapText="1" indent="1"/>
    </xf>
    <xf numFmtId="0" fontId="14" fillId="5" borderId="4" xfId="0" applyFont="1" applyFill="1" applyBorder="1" applyAlignment="1">
      <alignment horizontal="left" vertical="center" wrapText="1" indent="1" readingOrder="1"/>
    </xf>
    <xf numFmtId="164" fontId="14" fillId="5" borderId="4" xfId="0" applyNumberFormat="1" applyFont="1" applyFill="1" applyBorder="1" applyAlignment="1">
      <alignment horizontal="left" vertical="center" wrapText="1" indent="1"/>
    </xf>
    <xf numFmtId="164" fontId="14" fillId="5" borderId="4" xfId="0" applyNumberFormat="1" applyFont="1" applyFill="1" applyBorder="1" applyAlignment="1">
      <alignment horizontal="right" vertical="center" wrapText="1" indent="1" readingOrder="1"/>
    </xf>
    <xf numFmtId="164" fontId="14" fillId="5" borderId="4" xfId="0" applyNumberFormat="1" applyFont="1" applyFill="1" applyBorder="1" applyAlignment="1">
      <alignment horizontal="right" vertical="center" wrapText="1" indent="1"/>
    </xf>
    <xf numFmtId="0" fontId="6" fillId="5" borderId="4" xfId="0" applyFont="1" applyFill="1" applyBorder="1" applyAlignment="1">
      <alignment horizontal="left" vertical="center" wrapText="1" indent="1"/>
    </xf>
    <xf numFmtId="0" fontId="14" fillId="4" borderId="4" xfId="0" applyFont="1" applyFill="1" applyBorder="1" applyAlignment="1">
      <alignment horizontal="left" vertical="center" wrapText="1" indent="1"/>
    </xf>
    <xf numFmtId="0" fontId="14" fillId="4" borderId="0" xfId="0" applyFont="1" applyFill="1" applyAlignment="1">
      <alignment horizontal="left" vertical="center" indent="1"/>
    </xf>
    <xf numFmtId="164" fontId="14" fillId="4" borderId="4" xfId="0" applyNumberFormat="1" applyFont="1" applyFill="1" applyBorder="1" applyAlignment="1">
      <alignment horizontal="right" vertical="center" wrapText="1" indent="1"/>
    </xf>
    <xf numFmtId="164" fontId="14" fillId="4" borderId="8" xfId="0" applyNumberFormat="1" applyFont="1" applyFill="1" applyBorder="1" applyAlignment="1">
      <alignment horizontal="right" vertical="center" wrapText="1" indent="1"/>
    </xf>
    <xf numFmtId="1" fontId="14" fillId="4" borderId="4" xfId="0" applyNumberFormat="1" applyFont="1" applyFill="1" applyBorder="1" applyAlignment="1">
      <alignment horizontal="right" vertical="center" wrapText="1" indent="1"/>
    </xf>
    <xf numFmtId="0" fontId="14" fillId="6" borderId="4" xfId="0" applyFont="1" applyFill="1" applyBorder="1" applyAlignment="1">
      <alignment horizontal="right" vertical="center" wrapText="1" indent="1"/>
    </xf>
    <xf numFmtId="1" fontId="14" fillId="5" borderId="1" xfId="0" applyNumberFormat="1" applyFont="1" applyFill="1" applyBorder="1" applyAlignment="1">
      <alignment horizontal="right" vertical="center" wrapText="1" indent="1"/>
    </xf>
    <xf numFmtId="1" fontId="4" fillId="11"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xf numFmtId="0" fontId="20" fillId="0" borderId="1" xfId="0" applyFont="1" applyBorder="1" applyAlignment="1">
      <alignment horizontal="left" vertical="center" wrapText="1" indent="2"/>
    </xf>
    <xf numFmtId="0" fontId="21" fillId="0" borderId="1" xfId="0" applyFont="1" applyBorder="1" applyAlignment="1">
      <alignment horizontal="left" vertical="center" wrapText="1" indent="1"/>
    </xf>
    <xf numFmtId="0" fontId="23" fillId="0" borderId="1" xfId="0" applyFont="1" applyBorder="1" applyAlignment="1">
      <alignment horizontal="left" vertical="center" wrapText="1" indent="2"/>
    </xf>
    <xf numFmtId="0" fontId="24" fillId="2" borderId="1" xfId="0" applyFont="1" applyFill="1" applyBorder="1" applyAlignment="1">
      <alignment horizontal="lef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4">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Tsunamis!$F$7</c:f>
              <c:strCache>
                <c:ptCount val="1"/>
                <c:pt idx="0">
                  <c:v>Start Date</c:v>
                </c:pt>
              </c:strCache>
            </c:strRef>
          </c:tx>
          <c:spPr>
            <a:noFill/>
            <a:ln>
              <a:noFill/>
            </a:ln>
            <a:effectLst/>
          </c:spPr>
          <c:invertIfNegative val="0"/>
          <c:cat>
            <c:strRef>
              <c:f>Tsunamis!$C$8:$C$43</c:f>
              <c:strCache>
                <c:ptCount val="36"/>
                <c:pt idx="0">
                  <c:v>Eric</c:v>
                </c:pt>
                <c:pt idx="1">
                  <c:v># Update README with prioritized projects</c:v>
                </c:pt>
                <c:pt idx="2">
                  <c:v>#Course Offering User Story </c:v>
                </c:pt>
                <c:pt idx="3">
                  <c:v>#GPA Calculator User Story</c:v>
                </c:pt>
                <c:pt idx="4">
                  <c:v>#Project Maintenance (SDD, README, tests folder)  </c:v>
                </c:pt>
                <c:pt idx="5">
                  <c:v>#Install &amp; configure requests + bs4 </c:v>
                </c:pt>
                <c:pt idx="6">
                  <c:v>#Fix/organize test folder for test discovery</c:v>
                </c:pt>
                <c:pt idx="7">
                  <c:v>Evaluate Dr. Edwards via Class Climate </c:v>
                </c:pt>
                <c:pt idx="8">
                  <c:v>Evaluate team using Brightspace survey</c:v>
                </c:pt>
                <c:pt idx="9">
                  <c:v>Jayce</c:v>
                </c:pt>
                <c:pt idx="10">
                  <c:v>Create initial driver and Scraper class to scrape (unprocessed) academic calendar</c:v>
                </c:pt>
                <c:pt idx="11">
                  <c:v>Create function that returns the drop dates for each semester</c:v>
                </c:pt>
                <c:pt idx="12">
                  <c:v>Evaluate Dr. Edwards via Class Climate </c:v>
                </c:pt>
                <c:pt idx="13">
                  <c:v>Create test for functions in PerformScraping.py</c:v>
                </c:pt>
                <c:pt idx="14">
                  <c:v>Test resources.py</c:v>
                </c:pt>
                <c:pt idx="15">
                  <c:v>Test every resources link to ensure nothing is broken</c:v>
                </c:pt>
                <c:pt idx="16">
                  <c:v>Create tests for drop slip class</c:v>
                </c:pt>
                <c:pt idx="17">
                  <c:v>Create tests for schedule class</c:v>
                </c:pt>
                <c:pt idx="18">
                  <c:v>Update checklist for team member contributions</c:v>
                </c:pt>
                <c:pt idx="19">
                  <c:v>Evaluate team using Brightspace survey</c:v>
                </c:pt>
                <c:pt idx="20">
                  <c:v>Tre'sure</c:v>
                </c:pt>
                <c:pt idx="21">
                  <c:v>Create Course data class (strangely your data class includes 2 functions that should be in the Course class), also called in the driver</c:v>
                </c:pt>
                <c:pt idx="22">
                  <c:v>#1 1(a)The student types the subject in the search bar. 1(b)The page displays a scrollable list of courses for that subject. 1(c)The student clicks on the desired course. 1(d)The student clicks on the desired course. 1(e)The card displays the course descri</c:v>
                </c:pt>
                <c:pt idx="23">
                  <c:v>1(i)Verify that entering a invalid input will show a "No courses found" message instead of ending the code.</c:v>
                </c:pt>
                <c:pt idx="25">
                  <c:v>6(a)CreAte a schedule class. 6(b)Create a drop slip class. 6(c)Create a function that writes to a drop slip file. 6(d)Retrieve the CRN and all other necessary information for a course. 6(e)]Check if the student is registered for the course. 6(f)The app pro</c:v>
                </c:pt>
                <c:pt idx="26">
                  <c:v>4(d)Validate course code input: ensure the input is not empty and follows a pattern like SUBJECT + NUMBER.</c:v>
                </c:pt>
                <c:pt idx="27">
                  <c:v>4(e)]Implement search function that takes the course code and checks the current semester’s course offerings.</c:v>
                </c:pt>
                <c:pt idx="28">
                  <c:v>4(f) Display results for offered course: show “Course is offered this semester” and list all matching sections (CRN, days/times, instructor, seats). 4(g)Display message for not offered / not found course: show a clear message when no matching course exists</c:v>
                </c:pt>
                <c:pt idx="29">
                  <c:v>5(b)Build a resources module with URLs, icons, and categories.</c:v>
                </c:pt>
                <c:pt idx="30">
                  <c:v>5(a)Show quick-link resources so I don’t have to search XULA’s website.</c:v>
                </c:pt>
                <c:pt idx="31">
                  <c:v>5(c)Click “Drop Deadline Calendar” and see the dates instantly.</c:v>
                </c:pt>
                <c:pt idx="32">
                  <c:v>5(f)Make professor office hours and emails displayed for common CPSC courses.</c:v>
                </c:pt>
                <c:pt idx="33">
                  <c:v>5(j)Store the resources in a JSON or CSV file so they’re easy to update later.</c:v>
                </c:pt>
                <c:pt idx="34">
                  <c:v>Evaluate Dr. Edwards via Class Climate </c:v>
                </c:pt>
                <c:pt idx="35">
                  <c:v>Evaluate team using Brightspace survey</c:v>
                </c:pt>
              </c:strCache>
            </c:strRef>
          </c:cat>
          <c:val>
            <c:numRef>
              <c:f>Tsunamis!$F$8:$F$43</c:f>
              <c:numCache>
                <c:formatCode>m/d;@</c:formatCode>
                <c:ptCount val="36"/>
                <c:pt idx="0">
                  <c:v>45972</c:v>
                </c:pt>
                <c:pt idx="1">
                  <c:v>45972</c:v>
                </c:pt>
                <c:pt idx="2">
                  <c:v>45972</c:v>
                </c:pt>
                <c:pt idx="3">
                  <c:v>45972</c:v>
                </c:pt>
                <c:pt idx="4">
                  <c:v>45983</c:v>
                </c:pt>
                <c:pt idx="5">
                  <c:v>45983</c:v>
                </c:pt>
                <c:pt idx="6">
                  <c:v>45981</c:v>
                </c:pt>
                <c:pt idx="7">
                  <c:v>45983</c:v>
                </c:pt>
                <c:pt idx="8">
                  <c:v>45992</c:v>
                </c:pt>
                <c:pt idx="9">
                  <c:v>45981</c:v>
                </c:pt>
                <c:pt idx="10">
                  <c:v>45981</c:v>
                </c:pt>
                <c:pt idx="11">
                  <c:v>45982</c:v>
                </c:pt>
                <c:pt idx="12">
                  <c:v>45983</c:v>
                </c:pt>
                <c:pt idx="13">
                  <c:v>45984</c:v>
                </c:pt>
                <c:pt idx="14">
                  <c:v>45992</c:v>
                </c:pt>
                <c:pt idx="15">
                  <c:v>45992</c:v>
                </c:pt>
                <c:pt idx="16">
                  <c:v>45992</c:v>
                </c:pt>
                <c:pt idx="17">
                  <c:v>45992</c:v>
                </c:pt>
                <c:pt idx="18">
                  <c:v>45992</c:v>
                </c:pt>
                <c:pt idx="19">
                  <c:v>45992</c:v>
                </c:pt>
                <c:pt idx="20">
                  <c:v>45973</c:v>
                </c:pt>
                <c:pt idx="21">
                  <c:v>45973</c:v>
                </c:pt>
                <c:pt idx="22">
                  <c:v>45984</c:v>
                </c:pt>
                <c:pt idx="23">
                  <c:v>45984</c:v>
                </c:pt>
                <c:pt idx="24">
                  <c:v>45987</c:v>
                </c:pt>
                <c:pt idx="25">
                  <c:v>45990</c:v>
                </c:pt>
                <c:pt idx="26">
                  <c:v>45990</c:v>
                </c:pt>
                <c:pt idx="27">
                  <c:v>45990</c:v>
                </c:pt>
                <c:pt idx="28">
                  <c:v>45990</c:v>
                </c:pt>
                <c:pt idx="29">
                  <c:v>45990</c:v>
                </c:pt>
                <c:pt idx="30">
                  <c:v>45990</c:v>
                </c:pt>
                <c:pt idx="31">
                  <c:v>45990</c:v>
                </c:pt>
                <c:pt idx="32">
                  <c:v>45990</c:v>
                </c:pt>
                <c:pt idx="33">
                  <c:v>45990</c:v>
                </c:pt>
                <c:pt idx="34">
                  <c:v>45983</c:v>
                </c:pt>
                <c:pt idx="35">
                  <c:v>45992</c:v>
                </c:pt>
              </c:numCache>
            </c:numRef>
          </c:val>
          <c:extLst>
            <c:ext xmlns:c16="http://schemas.microsoft.com/office/drawing/2014/chart" uri="{C3380CC4-5D6E-409C-BE32-E72D297353CC}">
              <c16:uniqueId val="{00000000-8C3B-6B4E-8271-047982C56358}"/>
            </c:ext>
          </c:extLst>
        </c:ser>
        <c:ser>
          <c:idx val="1"/>
          <c:order val="1"/>
          <c:tx>
            <c:strRef>
              <c:f>Tsunamis!$H$7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Tsunamis!$C$8:$C$43</c:f>
              <c:strCache>
                <c:ptCount val="36"/>
                <c:pt idx="0">
                  <c:v>Eric</c:v>
                </c:pt>
                <c:pt idx="1">
                  <c:v># Update README with prioritized projects</c:v>
                </c:pt>
                <c:pt idx="2">
                  <c:v>#Course Offering User Story </c:v>
                </c:pt>
                <c:pt idx="3">
                  <c:v>#GPA Calculator User Story</c:v>
                </c:pt>
                <c:pt idx="4">
                  <c:v>#Project Maintenance (SDD, README, tests folder)  </c:v>
                </c:pt>
                <c:pt idx="5">
                  <c:v>#Install &amp; configure requests + bs4 </c:v>
                </c:pt>
                <c:pt idx="6">
                  <c:v>#Fix/organize test folder for test discovery</c:v>
                </c:pt>
                <c:pt idx="7">
                  <c:v>Evaluate Dr. Edwards via Class Climate </c:v>
                </c:pt>
                <c:pt idx="8">
                  <c:v>Evaluate team using Brightspace survey</c:v>
                </c:pt>
                <c:pt idx="9">
                  <c:v>Jayce</c:v>
                </c:pt>
                <c:pt idx="10">
                  <c:v>Create initial driver and Scraper class to scrape (unprocessed) academic calendar</c:v>
                </c:pt>
                <c:pt idx="11">
                  <c:v>Create function that returns the drop dates for each semester</c:v>
                </c:pt>
                <c:pt idx="12">
                  <c:v>Evaluate Dr. Edwards via Class Climate </c:v>
                </c:pt>
                <c:pt idx="13">
                  <c:v>Create test for functions in PerformScraping.py</c:v>
                </c:pt>
                <c:pt idx="14">
                  <c:v>Test resources.py</c:v>
                </c:pt>
                <c:pt idx="15">
                  <c:v>Test every resources link to ensure nothing is broken</c:v>
                </c:pt>
                <c:pt idx="16">
                  <c:v>Create tests for drop slip class</c:v>
                </c:pt>
                <c:pt idx="17">
                  <c:v>Create tests for schedule class</c:v>
                </c:pt>
                <c:pt idx="18">
                  <c:v>Update checklist for team member contributions</c:v>
                </c:pt>
                <c:pt idx="19">
                  <c:v>Evaluate team using Brightspace survey</c:v>
                </c:pt>
                <c:pt idx="20">
                  <c:v>Tre'sure</c:v>
                </c:pt>
                <c:pt idx="21">
                  <c:v>Create Course data class (strangely your data class includes 2 functions that should be in the Course class), also called in the driver</c:v>
                </c:pt>
                <c:pt idx="22">
                  <c:v>#1 1(a)The student types the subject in the search bar. 1(b)The page displays a scrollable list of courses for that subject. 1(c)The student clicks on the desired course. 1(d)The student clicks on the desired course. 1(e)The card displays the course descri</c:v>
                </c:pt>
                <c:pt idx="23">
                  <c:v>1(i)Verify that entering a invalid input will show a "No courses found" message instead of ending the code.</c:v>
                </c:pt>
                <c:pt idx="25">
                  <c:v>6(a)CreAte a schedule class. 6(b)Create a drop slip class. 6(c)Create a function that writes to a drop slip file. 6(d)Retrieve the CRN and all other necessary information for a course. 6(e)]Check if the student is registered for the course. 6(f)The app pro</c:v>
                </c:pt>
                <c:pt idx="26">
                  <c:v>4(d)Validate course code input: ensure the input is not empty and follows a pattern like SUBJECT + NUMBER.</c:v>
                </c:pt>
                <c:pt idx="27">
                  <c:v>4(e)]Implement search function that takes the course code and checks the current semester’s course offerings.</c:v>
                </c:pt>
                <c:pt idx="28">
                  <c:v>4(f) Display results for offered course: show “Course is offered this semester” and list all matching sections (CRN, days/times, instructor, seats). 4(g)Display message for not offered / not found course: show a clear message when no matching course exists</c:v>
                </c:pt>
                <c:pt idx="29">
                  <c:v>5(b)Build a resources module with URLs, icons, and categories.</c:v>
                </c:pt>
                <c:pt idx="30">
                  <c:v>5(a)Show quick-link resources so I don’t have to search XULA’s website.</c:v>
                </c:pt>
                <c:pt idx="31">
                  <c:v>5(c)Click “Drop Deadline Calendar” and see the dates instantly.</c:v>
                </c:pt>
                <c:pt idx="32">
                  <c:v>5(f)Make professor office hours and emails displayed for common CPSC courses.</c:v>
                </c:pt>
                <c:pt idx="33">
                  <c:v>5(j)Store the resources in a JSON or CSV file so they’re easy to update later.</c:v>
                </c:pt>
                <c:pt idx="34">
                  <c:v>Evaluate Dr. Edwards via Class Climate </c:v>
                </c:pt>
                <c:pt idx="35">
                  <c:v>Evaluate team using Brightspace survey</c:v>
                </c:pt>
              </c:strCache>
            </c:strRef>
          </c:cat>
          <c:val>
            <c:numRef>
              <c:f>Tsunamis!$H$8:$H$43</c:f>
              <c:numCache>
                <c:formatCode>0</c:formatCode>
                <c:ptCount val="36"/>
                <c:pt idx="0">
                  <c:v>28</c:v>
                </c:pt>
                <c:pt idx="1">
                  <c:v>1</c:v>
                </c:pt>
                <c:pt idx="7">
                  <c:v>17</c:v>
                </c:pt>
                <c:pt idx="8">
                  <c:v>1</c:v>
                </c:pt>
                <c:pt idx="9">
                  <c:v>19</c:v>
                </c:pt>
                <c:pt idx="10">
                  <c:v>1</c:v>
                </c:pt>
                <c:pt idx="11">
                  <c:v>1</c:v>
                </c:pt>
                <c:pt idx="12">
                  <c:v>17</c:v>
                </c:pt>
                <c:pt idx="13">
                  <c:v>1</c:v>
                </c:pt>
                <c:pt idx="14">
                  <c:v>1</c:v>
                </c:pt>
                <c:pt idx="15">
                  <c:v>1</c:v>
                </c:pt>
                <c:pt idx="16">
                  <c:v>1</c:v>
                </c:pt>
                <c:pt idx="17">
                  <c:v>1</c:v>
                </c:pt>
                <c:pt idx="18">
                  <c:v>1</c:v>
                </c:pt>
                <c:pt idx="19">
                  <c:v>1</c:v>
                </c:pt>
                <c:pt idx="20" formatCode="General">
                  <c:v>27</c:v>
                </c:pt>
                <c:pt idx="21">
                  <c:v>3</c:v>
                </c:pt>
                <c:pt idx="22">
                  <c:v>3</c:v>
                </c:pt>
                <c:pt idx="23">
                  <c:v>3</c:v>
                </c:pt>
                <c:pt idx="24">
                  <c:v>2</c:v>
                </c:pt>
                <c:pt idx="25">
                  <c:v>1</c:v>
                </c:pt>
                <c:pt idx="26">
                  <c:v>2</c:v>
                </c:pt>
                <c:pt idx="27">
                  <c:v>2</c:v>
                </c:pt>
                <c:pt idx="28">
                  <c:v>2</c:v>
                </c:pt>
                <c:pt idx="29">
                  <c:v>2</c:v>
                </c:pt>
                <c:pt idx="30">
                  <c:v>2</c:v>
                </c:pt>
                <c:pt idx="31">
                  <c:v>2</c:v>
                </c:pt>
                <c:pt idx="32">
                  <c:v>2</c:v>
                </c:pt>
                <c:pt idx="33">
                  <c:v>2</c:v>
                </c:pt>
                <c:pt idx="35">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43</xdr:row>
      <xdr:rowOff>114300</xdr:rowOff>
    </xdr:from>
    <xdr:to>
      <xdr:col>8</xdr:col>
      <xdr:colOff>3860800</xdr:colOff>
      <xdr:row>45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50800</xdr:colOff>
      <xdr:row>16</xdr:row>
      <xdr:rowOff>304800</xdr:rowOff>
    </xdr:from>
    <xdr:to>
      <xdr:col>15</xdr:col>
      <xdr:colOff>25400</xdr:colOff>
      <xdr:row>20</xdr:row>
      <xdr:rowOff>1054100</xdr:rowOff>
    </xdr:to>
    <xdr:pic>
      <xdr:nvPicPr>
        <xdr:cNvPr id="4" name="Picture 3">
          <a:extLst>
            <a:ext uri="{FF2B5EF4-FFF2-40B4-BE49-F238E27FC236}">
              <a16:creationId xmlns:a16="http://schemas.microsoft.com/office/drawing/2014/main" id="{E46A5AB6-0B42-231A-06CD-A096CE3AB0C9}"/>
            </a:ext>
          </a:extLst>
        </xdr:cNvPr>
        <xdr:cNvPicPr>
          <a:picLocks noChangeAspect="1"/>
        </xdr:cNvPicPr>
      </xdr:nvPicPr>
      <xdr:blipFill>
        <a:blip xmlns:r="http://schemas.openxmlformats.org/officeDocument/2006/relationships" r:embed="rId2"/>
        <a:stretch>
          <a:fillRect/>
        </a:stretch>
      </xdr:blipFill>
      <xdr:spPr>
        <a:xfrm>
          <a:off x="15455900" y="5207000"/>
          <a:ext cx="4559300" cy="2298700"/>
        </a:xfrm>
        <a:prstGeom prst="rect">
          <a:avLst/>
        </a:prstGeom>
      </xdr:spPr>
    </xdr:pic>
    <xdr:clientData/>
  </xdr:twoCellAnchor>
  <xdr:twoCellAnchor editAs="oneCell">
    <xdr:from>
      <xdr:col>9</xdr:col>
      <xdr:colOff>88900</xdr:colOff>
      <xdr:row>7</xdr:row>
      <xdr:rowOff>241300</xdr:rowOff>
    </xdr:from>
    <xdr:to>
      <xdr:col>15</xdr:col>
      <xdr:colOff>63500</xdr:colOff>
      <xdr:row>10</xdr:row>
      <xdr:rowOff>1854200</xdr:rowOff>
    </xdr:to>
    <xdr:pic>
      <xdr:nvPicPr>
        <xdr:cNvPr id="5" name="Picture 4">
          <a:extLst>
            <a:ext uri="{FF2B5EF4-FFF2-40B4-BE49-F238E27FC236}">
              <a16:creationId xmlns:a16="http://schemas.microsoft.com/office/drawing/2014/main" id="{87CA62F0-A119-58F5-E29D-72F3748F71C0}"/>
            </a:ext>
          </a:extLst>
        </xdr:cNvPr>
        <xdr:cNvPicPr>
          <a:picLocks noChangeAspect="1"/>
        </xdr:cNvPicPr>
      </xdr:nvPicPr>
      <xdr:blipFill>
        <a:blip xmlns:r="http://schemas.openxmlformats.org/officeDocument/2006/relationships" r:embed="rId3"/>
        <a:stretch>
          <a:fillRect/>
        </a:stretch>
      </xdr:blipFill>
      <xdr:spPr>
        <a:xfrm>
          <a:off x="15494000" y="2794000"/>
          <a:ext cx="4559300" cy="2311400"/>
        </a:xfrm>
        <a:prstGeom prst="rect">
          <a:avLst/>
        </a:prstGeom>
      </xdr:spPr>
    </xdr:pic>
    <xdr:clientData/>
  </xdr:twoCellAnchor>
  <xdr:twoCellAnchor editAs="oneCell">
    <xdr:from>
      <xdr:col>9</xdr:col>
      <xdr:colOff>63500</xdr:colOff>
      <xdr:row>27</xdr:row>
      <xdr:rowOff>279400</xdr:rowOff>
    </xdr:from>
    <xdr:to>
      <xdr:col>15</xdr:col>
      <xdr:colOff>38100</xdr:colOff>
      <xdr:row>28</xdr:row>
      <xdr:rowOff>2273300</xdr:rowOff>
    </xdr:to>
    <xdr:pic>
      <xdr:nvPicPr>
        <xdr:cNvPr id="6" name="Picture 5">
          <a:extLst>
            <a:ext uri="{FF2B5EF4-FFF2-40B4-BE49-F238E27FC236}">
              <a16:creationId xmlns:a16="http://schemas.microsoft.com/office/drawing/2014/main" id="{F7DCAEC9-8161-AC3F-9DA8-723D16B7367B}"/>
            </a:ext>
          </a:extLst>
        </xdr:cNvPr>
        <xdr:cNvPicPr>
          <a:picLocks noChangeAspect="1"/>
        </xdr:cNvPicPr>
      </xdr:nvPicPr>
      <xdr:blipFill>
        <a:blip xmlns:r="http://schemas.openxmlformats.org/officeDocument/2006/relationships" r:embed="rId4"/>
        <a:stretch>
          <a:fillRect/>
        </a:stretch>
      </xdr:blipFill>
      <xdr:spPr>
        <a:xfrm>
          <a:off x="15468600" y="8737600"/>
          <a:ext cx="4559300" cy="2311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089"/>
  <sheetViews>
    <sheetView showGridLines="0" tabSelected="1" workbookViewId="0">
      <pane ySplit="1" topLeftCell="A22" activePane="bottomLeft" state="frozen"/>
      <selection pane="bottomLeft" activeCell="C36" sqref="C36"/>
    </sheetView>
  </sheetViews>
  <sheetFormatPr baseColWidth="10" defaultColWidth="11" defaultRowHeight="13" outlineLevelRow="1" x14ac:dyDescent="0.15"/>
  <cols>
    <col min="1" max="1" width="3.33203125" style="7" customWidth="1"/>
    <col min="2" max="2" width="23.6640625" style="7" customWidth="1"/>
    <col min="3" max="3" width="57" style="7" bestFit="1" customWidth="1"/>
    <col min="4" max="4" width="12.83203125" style="7" customWidth="1"/>
    <col min="5" max="5" width="22.33203125" style="7" bestFit="1" customWidth="1"/>
    <col min="6" max="6" width="12.6640625" style="35" customWidth="1"/>
    <col min="7" max="7" width="11.83203125" style="35"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8" t="s">
        <v>17</v>
      </c>
      <c r="D1"/>
      <c r="E1"/>
      <c r="F1" s="30"/>
      <c r="G1" s="30"/>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5</v>
      </c>
      <c r="D2" s="18"/>
      <c r="E2" s="18" t="s">
        <v>7</v>
      </c>
      <c r="F2" s="31"/>
      <c r="G2" s="31"/>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0" t="s">
        <v>18</v>
      </c>
      <c r="D3" s="1"/>
      <c r="E3" s="26">
        <v>45970</v>
      </c>
      <c r="F3" s="32"/>
      <c r="G3" s="32"/>
      <c r="H3" s="1" t="s">
        <v>8</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1" t="s">
        <v>26</v>
      </c>
      <c r="D4" s="18"/>
      <c r="E4" s="21" t="s">
        <v>6</v>
      </c>
      <c r="F4" s="31"/>
      <c r="G4" s="31"/>
      <c r="H4" s="18" t="s">
        <v>4</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5" t="s">
        <v>22</v>
      </c>
      <c r="D5" s="1"/>
      <c r="E5" s="26">
        <v>45992</v>
      </c>
      <c r="F5" s="32"/>
      <c r="G5" s="32"/>
      <c r="H5" s="27">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2"/>
      <c r="F6" s="32"/>
      <c r="G6" s="32"/>
      <c r="H6" s="22"/>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
      <c r="A7" s="10"/>
      <c r="B7" s="23"/>
      <c r="C7" s="23" t="s">
        <v>12</v>
      </c>
      <c r="D7" s="23" t="s">
        <v>10</v>
      </c>
      <c r="E7" s="23" t="s">
        <v>13</v>
      </c>
      <c r="F7" s="33" t="s">
        <v>7</v>
      </c>
      <c r="G7" s="34" t="s">
        <v>6</v>
      </c>
      <c r="H7" s="29" t="s">
        <v>11</v>
      </c>
      <c r="I7" s="23" t="s">
        <v>9</v>
      </c>
      <c r="J7" s="10"/>
      <c r="K7" s="1"/>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0" customFormat="1" ht="25" customHeight="1" x14ac:dyDescent="0.15">
      <c r="A8" s="42"/>
      <c r="B8" s="57"/>
      <c r="C8" s="58" t="s">
        <v>19</v>
      </c>
      <c r="D8" s="24"/>
      <c r="E8" s="24"/>
      <c r="F8" s="59">
        <f>MIN(F9:F16)</f>
        <v>45972</v>
      </c>
      <c r="G8" s="60">
        <f>MAX(G9:G16)</f>
        <v>45999</v>
      </c>
      <c r="H8" s="61">
        <f>IF(F8=0,0,G8-F8)+1</f>
        <v>28</v>
      </c>
      <c r="I8" s="24"/>
      <c r="J8" s="42"/>
      <c r="K8" s="1"/>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c r="IT8" s="42"/>
      <c r="IU8" s="42"/>
      <c r="IV8" s="42"/>
      <c r="IW8" s="42"/>
      <c r="IX8" s="42"/>
    </row>
    <row r="9" spans="1:258" s="9" customFormat="1" ht="15" outlineLevel="1" x14ac:dyDescent="0.15">
      <c r="A9" s="8"/>
      <c r="B9" s="2" t="s">
        <v>94</v>
      </c>
      <c r="C9" s="14" t="s">
        <v>23</v>
      </c>
      <c r="D9" s="3" t="s">
        <v>2</v>
      </c>
      <c r="E9" s="4" t="s">
        <v>24</v>
      </c>
      <c r="F9" s="36">
        <v>45972</v>
      </c>
      <c r="G9" s="36">
        <v>45972</v>
      </c>
      <c r="H9" s="40">
        <f t="shared" ref="H9" si="0">IF(OR(F9=0, ISBLANK(F9)),0,G9-F9+1)</f>
        <v>1</v>
      </c>
      <c r="I9" s="65"/>
      <c r="J9" s="8"/>
      <c r="K9" s="1"/>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15" outlineLevel="1" x14ac:dyDescent="0.15">
      <c r="A10" s="8"/>
      <c r="B10" s="2"/>
      <c r="C10" s="14" t="s">
        <v>58</v>
      </c>
      <c r="D10" s="3" t="s">
        <v>0</v>
      </c>
      <c r="E10" s="4" t="s">
        <v>95</v>
      </c>
      <c r="F10" s="36">
        <v>45972</v>
      </c>
      <c r="G10" s="36">
        <v>45990</v>
      </c>
      <c r="H10" s="40"/>
      <c r="I10" s="2"/>
      <c r="J10" s="8"/>
      <c r="K10" s="1"/>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66" outlineLevel="1" x14ac:dyDescent="0.15">
      <c r="A11" s="8"/>
      <c r="B11" s="2" t="s">
        <v>97</v>
      </c>
      <c r="C11" s="67" t="s">
        <v>59</v>
      </c>
      <c r="D11" s="3" t="s">
        <v>0</v>
      </c>
      <c r="E11" s="4" t="s">
        <v>96</v>
      </c>
      <c r="F11" s="36">
        <v>45972</v>
      </c>
      <c r="G11" s="36">
        <v>45982</v>
      </c>
      <c r="H11" s="40"/>
      <c r="I11" s="2"/>
      <c r="J11" s="8"/>
      <c r="K11" s="1"/>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15" outlineLevel="1" x14ac:dyDescent="0.15">
      <c r="A12" s="8"/>
      <c r="B12" s="2"/>
      <c r="C12" s="14" t="s">
        <v>60</v>
      </c>
      <c r="D12" s="3" t="s">
        <v>0</v>
      </c>
      <c r="E12" s="4" t="s">
        <v>98</v>
      </c>
      <c r="F12" s="36">
        <v>45983</v>
      </c>
      <c r="G12" s="36">
        <v>45992</v>
      </c>
      <c r="H12" s="40"/>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42" outlineLevel="1" x14ac:dyDescent="0.15">
      <c r="A13" s="8"/>
      <c r="B13" s="2" t="s">
        <v>99</v>
      </c>
      <c r="C13" s="14" t="s">
        <v>61</v>
      </c>
      <c r="D13" s="3" t="s">
        <v>0</v>
      </c>
      <c r="E13" s="4" t="s">
        <v>62</v>
      </c>
      <c r="F13" s="36">
        <v>45983</v>
      </c>
      <c r="G13" s="36">
        <v>45990</v>
      </c>
      <c r="H13" s="40"/>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8" outlineLevel="1" x14ac:dyDescent="0.15">
      <c r="A14" s="8"/>
      <c r="B14" s="2"/>
      <c r="C14" s="14" t="s">
        <v>63</v>
      </c>
      <c r="D14" s="3" t="s">
        <v>0</v>
      </c>
      <c r="E14" s="68" t="s">
        <v>100</v>
      </c>
      <c r="F14" s="36">
        <v>45981</v>
      </c>
      <c r="G14" s="36">
        <v>45992</v>
      </c>
      <c r="H14" s="40"/>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15" outlineLevel="1" x14ac:dyDescent="0.15">
      <c r="A15" s="8"/>
      <c r="B15" s="2"/>
      <c r="C15" s="14" t="s">
        <v>15</v>
      </c>
      <c r="D15" s="3" t="s">
        <v>3</v>
      </c>
      <c r="E15" s="13"/>
      <c r="F15" s="36">
        <v>45983</v>
      </c>
      <c r="G15" s="36">
        <v>45999</v>
      </c>
      <c r="H15" s="40">
        <f t="shared" ref="H15:H16" si="1">IF(OR(F15=0, ISBLANK(F15)),0,G15-F15+1)</f>
        <v>17</v>
      </c>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16" outlineLevel="1" thickBot="1" x14ac:dyDescent="0.2">
      <c r="A16" s="8"/>
      <c r="B16" s="16"/>
      <c r="C16" s="14" t="s">
        <v>14</v>
      </c>
      <c r="D16" s="15" t="s">
        <v>3</v>
      </c>
      <c r="E16" s="17"/>
      <c r="F16" s="38">
        <v>45992</v>
      </c>
      <c r="G16" s="39">
        <v>45992</v>
      </c>
      <c r="H16" s="40">
        <f t="shared" si="1"/>
        <v>1</v>
      </c>
      <c r="I16" s="16"/>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50" customFormat="1" ht="25" customHeight="1" x14ac:dyDescent="0.15">
      <c r="A17" s="42"/>
      <c r="B17" s="51"/>
      <c r="C17" s="51" t="s">
        <v>20</v>
      </c>
      <c r="D17" s="52"/>
      <c r="E17" s="53"/>
      <c r="F17" s="54">
        <f>MIN(F18:F27)</f>
        <v>45981</v>
      </c>
      <c r="G17" s="55">
        <f>MAX(G18:G27)</f>
        <v>45999</v>
      </c>
      <c r="H17" s="63">
        <f t="shared" ref="H17:H43" si="2">IF(OR(F17=0, ISBLANK(F17)),0,G17-F17+1)</f>
        <v>19</v>
      </c>
      <c r="I17" s="56"/>
      <c r="J17" s="42"/>
      <c r="K17" s="1"/>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c r="ED17" s="42"/>
      <c r="EE17" s="42"/>
      <c r="EF17" s="42"/>
      <c r="EG17" s="42"/>
      <c r="EH17" s="42"/>
      <c r="EI17" s="42"/>
      <c r="EJ17" s="42"/>
      <c r="EK17" s="42"/>
      <c r="EL17" s="42"/>
      <c r="EM17" s="42"/>
      <c r="EN17" s="42"/>
      <c r="EO17" s="42"/>
      <c r="EP17" s="42"/>
      <c r="EQ17" s="42"/>
      <c r="ER17" s="42"/>
      <c r="ES17" s="42"/>
      <c r="ET17" s="42"/>
      <c r="EU17" s="42"/>
      <c r="EV17" s="42"/>
      <c r="EW17" s="42"/>
      <c r="EX17" s="42"/>
      <c r="EY17" s="42"/>
      <c r="EZ17" s="42"/>
      <c r="FA17" s="42"/>
      <c r="FB17" s="42"/>
      <c r="FC17" s="42"/>
      <c r="FD17" s="42"/>
      <c r="FE17" s="42"/>
      <c r="FF17" s="42"/>
      <c r="FG17" s="42"/>
      <c r="FH17" s="42"/>
      <c r="FI17" s="42"/>
      <c r="FJ17" s="42"/>
      <c r="FK17" s="42"/>
      <c r="FL17" s="42"/>
      <c r="FM17" s="42"/>
      <c r="FN17" s="42"/>
      <c r="FO17" s="42"/>
      <c r="FP17" s="42"/>
      <c r="FQ17" s="42"/>
      <c r="FR17" s="42"/>
      <c r="FS17" s="42"/>
      <c r="FT17" s="42"/>
      <c r="FU17" s="42"/>
      <c r="FV17" s="42"/>
      <c r="FW17" s="42"/>
      <c r="FX17" s="42"/>
      <c r="FY17" s="42"/>
      <c r="FZ17" s="42"/>
      <c r="GA17" s="42"/>
      <c r="GB17" s="42"/>
      <c r="GC17" s="42"/>
      <c r="GD17" s="42"/>
      <c r="GE17" s="42"/>
      <c r="GF17" s="42"/>
      <c r="GG17" s="42"/>
      <c r="GH17" s="42"/>
      <c r="GI17" s="42"/>
      <c r="GJ17" s="42"/>
      <c r="GK17" s="42"/>
      <c r="GL17" s="42"/>
      <c r="GM17" s="42"/>
      <c r="GN17" s="42"/>
      <c r="GO17" s="42"/>
      <c r="GP17" s="42"/>
      <c r="GQ17" s="42"/>
      <c r="GR17" s="42"/>
      <c r="GS17" s="42"/>
      <c r="GT17" s="42"/>
      <c r="GU17" s="42"/>
      <c r="GV17" s="42"/>
      <c r="GW17" s="42"/>
      <c r="GX17" s="42"/>
      <c r="GY17" s="42"/>
      <c r="GZ17" s="42"/>
      <c r="HA17" s="42"/>
      <c r="HB17" s="42"/>
      <c r="HC17" s="42"/>
      <c r="HD17" s="42"/>
      <c r="HE17" s="42"/>
      <c r="HF17" s="42"/>
      <c r="HG17" s="42"/>
      <c r="HH17" s="42"/>
      <c r="HI17" s="42"/>
      <c r="HJ17" s="42"/>
      <c r="HK17" s="42"/>
      <c r="HL17" s="42"/>
      <c r="HM17" s="42"/>
      <c r="HN17" s="42"/>
      <c r="HO17" s="42"/>
      <c r="HP17" s="42"/>
      <c r="HQ17" s="42"/>
      <c r="HR17" s="42"/>
      <c r="HS17" s="42"/>
      <c r="HT17" s="42"/>
      <c r="HU17" s="42"/>
      <c r="HV17" s="42"/>
      <c r="HW17" s="42"/>
      <c r="HX17" s="42"/>
      <c r="HY17" s="42"/>
      <c r="HZ17" s="42"/>
      <c r="IA17" s="42"/>
      <c r="IB17" s="42"/>
      <c r="IC17" s="42"/>
      <c r="ID17" s="42"/>
      <c r="IE17" s="42"/>
      <c r="IF17" s="42"/>
      <c r="IG17" s="42"/>
      <c r="IH17" s="42"/>
      <c r="II17" s="42"/>
      <c r="IJ17" s="42"/>
      <c r="IK17" s="42"/>
      <c r="IL17" s="42"/>
      <c r="IM17" s="42"/>
      <c r="IN17" s="42"/>
      <c r="IO17" s="42"/>
      <c r="IP17" s="42"/>
      <c r="IQ17" s="42"/>
      <c r="IR17" s="42"/>
      <c r="IS17" s="42"/>
      <c r="IT17" s="42"/>
      <c r="IU17" s="42"/>
      <c r="IV17" s="42"/>
      <c r="IW17" s="42"/>
      <c r="IX17" s="42"/>
    </row>
    <row r="18" spans="1:258" s="9" customFormat="1" ht="42" outlineLevel="1" x14ac:dyDescent="0.15">
      <c r="A18" s="8"/>
      <c r="B18" s="2" t="s">
        <v>83</v>
      </c>
      <c r="C18" s="14" t="s">
        <v>32</v>
      </c>
      <c r="D18" s="3" t="s">
        <v>0</v>
      </c>
      <c r="E18" s="13" t="s">
        <v>25</v>
      </c>
      <c r="F18" s="36">
        <v>45981</v>
      </c>
      <c r="G18" s="36">
        <v>45981</v>
      </c>
      <c r="H18" s="41">
        <f>IF(OR(F18=0, ISBLANK(F18)),0,G18-F18+1)</f>
        <v>1</v>
      </c>
      <c r="I18" s="65"/>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30" outlineLevel="1" x14ac:dyDescent="0.15">
      <c r="A19" s="8"/>
      <c r="B19" s="2" t="s">
        <v>84</v>
      </c>
      <c r="C19" s="14" t="s">
        <v>33</v>
      </c>
      <c r="D19" s="3" t="s">
        <v>0</v>
      </c>
      <c r="E19" s="13" t="s">
        <v>27</v>
      </c>
      <c r="F19" s="36">
        <v>45982</v>
      </c>
      <c r="G19" s="36">
        <v>45982</v>
      </c>
      <c r="H19" s="41">
        <f>IF(OR(F19=0, ISBLANK(F19)),0,G19-F19+1)</f>
        <v>1</v>
      </c>
      <c r="I19" s="2"/>
      <c r="J19" s="8"/>
      <c r="K19" s="1"/>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15</v>
      </c>
      <c r="D20" s="3" t="s">
        <v>0</v>
      </c>
      <c r="E20" s="13"/>
      <c r="F20" s="36">
        <v>45983</v>
      </c>
      <c r="G20" s="36">
        <v>45999</v>
      </c>
      <c r="H20" s="41">
        <f>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154" outlineLevel="1" x14ac:dyDescent="0.15">
      <c r="A21" s="8"/>
      <c r="B21" s="2" t="s">
        <v>85</v>
      </c>
      <c r="C21" s="14" t="s">
        <v>34</v>
      </c>
      <c r="D21" s="3" t="s">
        <v>0</v>
      </c>
      <c r="E21" s="13" t="s">
        <v>86</v>
      </c>
      <c r="F21" s="36">
        <v>45984</v>
      </c>
      <c r="G21" s="36">
        <v>45984</v>
      </c>
      <c r="H21" s="41">
        <v>1</v>
      </c>
      <c r="I21" s="2"/>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9" customFormat="1" ht="25" customHeight="1" outlineLevel="1" x14ac:dyDescent="0.15">
      <c r="A22" s="8"/>
      <c r="B22" s="2" t="s">
        <v>88</v>
      </c>
      <c r="C22" s="14" t="s">
        <v>35</v>
      </c>
      <c r="D22" s="3" t="s">
        <v>0</v>
      </c>
      <c r="E22" s="13" t="s">
        <v>87</v>
      </c>
      <c r="F22" s="36">
        <v>45992</v>
      </c>
      <c r="G22" s="36">
        <v>45992</v>
      </c>
      <c r="H22" s="41">
        <v>1</v>
      </c>
      <c r="I22" s="2"/>
      <c r="J22" s="8"/>
      <c r="K22" s="1"/>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row>
    <row r="23" spans="1:258" s="9" customFormat="1" ht="25" customHeight="1" outlineLevel="1" x14ac:dyDescent="0.15">
      <c r="A23" s="8"/>
      <c r="B23" s="2" t="s">
        <v>89</v>
      </c>
      <c r="C23" s="14" t="s">
        <v>36</v>
      </c>
      <c r="D23" s="3" t="s">
        <v>0</v>
      </c>
      <c r="E23" s="13" t="s">
        <v>28</v>
      </c>
      <c r="F23" s="36">
        <v>45992</v>
      </c>
      <c r="G23" s="36">
        <v>45992</v>
      </c>
      <c r="H23" s="41">
        <v>1</v>
      </c>
      <c r="I23" s="2"/>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t="s">
        <v>91</v>
      </c>
      <c r="C24" s="14" t="s">
        <v>37</v>
      </c>
      <c r="D24" s="3" t="s">
        <v>0</v>
      </c>
      <c r="E24" s="13" t="s">
        <v>90</v>
      </c>
      <c r="F24" s="36">
        <v>45992</v>
      </c>
      <c r="G24" s="36">
        <v>45992</v>
      </c>
      <c r="H24" s="41">
        <v>1</v>
      </c>
      <c r="I24" s="2"/>
      <c r="J24" s="8"/>
      <c r="K24" s="66"/>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98" outlineLevel="1" x14ac:dyDescent="0.15">
      <c r="A25" s="8"/>
      <c r="B25" s="2" t="s">
        <v>92</v>
      </c>
      <c r="C25" s="14" t="s">
        <v>38</v>
      </c>
      <c r="D25" s="3" t="s">
        <v>0</v>
      </c>
      <c r="E25" s="13" t="s">
        <v>29</v>
      </c>
      <c r="F25" s="36">
        <v>45992</v>
      </c>
      <c r="G25" s="36">
        <v>45992</v>
      </c>
      <c r="H25" s="41">
        <v>1</v>
      </c>
      <c r="I25" s="2" t="s">
        <v>30</v>
      </c>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t="s">
        <v>93</v>
      </c>
      <c r="C26" s="14" t="s">
        <v>39</v>
      </c>
      <c r="D26" s="3" t="s">
        <v>0</v>
      </c>
      <c r="E26" s="13" t="s">
        <v>31</v>
      </c>
      <c r="F26" s="36">
        <v>45992</v>
      </c>
      <c r="G26" s="36">
        <v>45992</v>
      </c>
      <c r="H26" s="41">
        <v>1</v>
      </c>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thickBot="1" x14ac:dyDescent="0.2">
      <c r="A27" s="8"/>
      <c r="B27" s="2"/>
      <c r="C27" s="14" t="s">
        <v>14</v>
      </c>
      <c r="D27" s="15" t="s">
        <v>0</v>
      </c>
      <c r="E27" s="17"/>
      <c r="F27" s="38">
        <v>45992</v>
      </c>
      <c r="G27" s="39">
        <v>45992</v>
      </c>
      <c r="H27" s="41">
        <f>IF(OR(F27=0, ISBLANK(F27)),0,G27-F27+1)</f>
        <v>1</v>
      </c>
      <c r="I27" s="2"/>
      <c r="J27" s="8"/>
      <c r="K27" s="49"/>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50" customFormat="1" ht="25" customHeight="1" x14ac:dyDescent="0.15">
      <c r="A28" s="42"/>
      <c r="B28" s="43"/>
      <c r="C28" s="43" t="s">
        <v>21</v>
      </c>
      <c r="D28" s="44"/>
      <c r="E28" s="45"/>
      <c r="F28" s="46">
        <f>MIN(F29:F43)</f>
        <v>45973</v>
      </c>
      <c r="G28" s="47">
        <f>MAX(G29:G43)</f>
        <v>45999</v>
      </c>
      <c r="H28" s="62">
        <f t="shared" si="2"/>
        <v>27</v>
      </c>
      <c r="I28" s="48"/>
      <c r="J28" s="42"/>
      <c r="K28" s="49"/>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c r="EJ28" s="42"/>
      <c r="EK28" s="42"/>
      <c r="EL28" s="42"/>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row>
    <row r="29" spans="1:258" s="9" customFormat="1" ht="224" outlineLevel="1" x14ac:dyDescent="0.15">
      <c r="A29" s="8"/>
      <c r="B29" s="2" t="s">
        <v>70</v>
      </c>
      <c r="C29" s="69" t="s">
        <v>56</v>
      </c>
      <c r="D29" s="3" t="s">
        <v>0</v>
      </c>
      <c r="E29" s="12" t="s">
        <v>68</v>
      </c>
      <c r="F29" s="36">
        <v>45973</v>
      </c>
      <c r="G29" s="37">
        <v>45975</v>
      </c>
      <c r="H29" s="64">
        <f t="shared" si="2"/>
        <v>3</v>
      </c>
      <c r="I29" s="70" t="s">
        <v>101</v>
      </c>
      <c r="J29" s="8"/>
      <c r="K29" s="49"/>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195" outlineLevel="1" x14ac:dyDescent="0.15">
      <c r="A30" s="8"/>
      <c r="B30" s="2" t="s">
        <v>72</v>
      </c>
      <c r="C30" s="14" t="s">
        <v>64</v>
      </c>
      <c r="D30" s="3" t="s">
        <v>0</v>
      </c>
      <c r="E30" s="12" t="s">
        <v>67</v>
      </c>
      <c r="F30" s="36">
        <v>45984</v>
      </c>
      <c r="G30" s="36">
        <v>45987</v>
      </c>
      <c r="H30" s="64">
        <v>3</v>
      </c>
      <c r="I30" s="2" t="s">
        <v>82</v>
      </c>
      <c r="J30" s="8"/>
      <c r="K30" s="49"/>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10" outlineLevel="1" x14ac:dyDescent="0.15">
      <c r="A31" s="8"/>
      <c r="B31" s="2" t="s">
        <v>71</v>
      </c>
      <c r="C31" s="14" t="s">
        <v>40</v>
      </c>
      <c r="D31" s="3" t="s">
        <v>0</v>
      </c>
      <c r="E31" s="12" t="s">
        <v>69</v>
      </c>
      <c r="F31" s="36">
        <v>45984</v>
      </c>
      <c r="G31" s="36">
        <v>45987</v>
      </c>
      <c r="H31" s="64">
        <v>3</v>
      </c>
      <c r="I31" s="2" t="s">
        <v>102</v>
      </c>
      <c r="J31" s="8"/>
      <c r="K31" s="49"/>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56" outlineLevel="1" x14ac:dyDescent="0.15">
      <c r="A32" s="8"/>
      <c r="B32" s="2" t="s">
        <v>103</v>
      </c>
      <c r="C32" s="14"/>
      <c r="D32" s="3" t="s">
        <v>0</v>
      </c>
      <c r="E32" s="12" t="s">
        <v>104</v>
      </c>
      <c r="F32" s="36">
        <v>45987</v>
      </c>
      <c r="G32" s="36">
        <v>45987</v>
      </c>
      <c r="H32" s="64">
        <v>2</v>
      </c>
      <c r="I32" s="2" t="s">
        <v>105</v>
      </c>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168" outlineLevel="1" x14ac:dyDescent="0.15">
      <c r="A33" s="8"/>
      <c r="B33" s="2" t="s">
        <v>74</v>
      </c>
      <c r="C33" s="14" t="s">
        <v>65</v>
      </c>
      <c r="D33" s="3" t="s">
        <v>0</v>
      </c>
      <c r="E33" s="12" t="s">
        <v>66</v>
      </c>
      <c r="F33" s="36">
        <v>45990</v>
      </c>
      <c r="G33" s="36">
        <v>45990</v>
      </c>
      <c r="H33" s="64">
        <v>1</v>
      </c>
      <c r="I33" s="2"/>
      <c r="J33" s="8"/>
      <c r="K33" s="49"/>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30" outlineLevel="1" x14ac:dyDescent="0.15">
      <c r="A34" s="8"/>
      <c r="B34" s="2" t="s">
        <v>73</v>
      </c>
      <c r="C34" s="14" t="s">
        <v>41</v>
      </c>
      <c r="D34" s="3" t="s">
        <v>0</v>
      </c>
      <c r="E34" s="12" t="s">
        <v>42</v>
      </c>
      <c r="F34" s="36">
        <v>45990</v>
      </c>
      <c r="G34" s="36">
        <v>45991</v>
      </c>
      <c r="H34" s="64">
        <v>2</v>
      </c>
      <c r="I34" s="2"/>
      <c r="J34" s="8"/>
      <c r="K34" s="49"/>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30" outlineLevel="1" x14ac:dyDescent="0.15">
      <c r="A35" s="8"/>
      <c r="B35" s="2" t="s">
        <v>75</v>
      </c>
      <c r="C35" s="14" t="s">
        <v>43</v>
      </c>
      <c r="D35" s="3" t="s">
        <v>0</v>
      </c>
      <c r="E35" s="12" t="s">
        <v>44</v>
      </c>
      <c r="F35" s="36">
        <v>45990</v>
      </c>
      <c r="G35" s="36">
        <v>45991</v>
      </c>
      <c r="H35" s="64">
        <v>2</v>
      </c>
      <c r="I35" s="2"/>
      <c r="J35" s="8"/>
      <c r="K35" s="49"/>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9" customFormat="1" ht="105" outlineLevel="1" x14ac:dyDescent="0.15">
      <c r="A36" s="8"/>
      <c r="B36" s="2" t="s">
        <v>76</v>
      </c>
      <c r="C36" s="14" t="s">
        <v>57</v>
      </c>
      <c r="D36" s="3" t="s">
        <v>0</v>
      </c>
      <c r="E36" s="12" t="s">
        <v>45</v>
      </c>
      <c r="F36" s="36">
        <v>45990</v>
      </c>
      <c r="G36" s="36">
        <v>45991</v>
      </c>
      <c r="H36" s="64">
        <v>2</v>
      </c>
      <c r="I36" s="2"/>
      <c r="J36" s="8"/>
      <c r="K36" s="49"/>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row>
    <row r="37" spans="1:258" s="9" customFormat="1" ht="42" outlineLevel="1" x14ac:dyDescent="0.15">
      <c r="A37" s="8"/>
      <c r="B37" s="2" t="s">
        <v>77</v>
      </c>
      <c r="C37" s="14" t="s">
        <v>46</v>
      </c>
      <c r="D37" s="3" t="s">
        <v>0</v>
      </c>
      <c r="E37" s="12" t="s">
        <v>47</v>
      </c>
      <c r="F37" s="36">
        <v>45990</v>
      </c>
      <c r="G37" s="36">
        <v>45991</v>
      </c>
      <c r="H37" s="64">
        <v>2</v>
      </c>
      <c r="I37" s="2"/>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30" outlineLevel="1" x14ac:dyDescent="0.15">
      <c r="A38" s="8"/>
      <c r="B38" s="2" t="s">
        <v>78</v>
      </c>
      <c r="C38" s="14" t="s">
        <v>48</v>
      </c>
      <c r="D38" s="3" t="s">
        <v>0</v>
      </c>
      <c r="E38" s="12" t="s">
        <v>49</v>
      </c>
      <c r="F38" s="36">
        <v>45990</v>
      </c>
      <c r="G38" s="36">
        <v>45991</v>
      </c>
      <c r="H38" s="64">
        <v>2</v>
      </c>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56" outlineLevel="1" x14ac:dyDescent="0.15">
      <c r="A39" s="8"/>
      <c r="B39" s="2" t="s">
        <v>79</v>
      </c>
      <c r="C39" s="14" t="s">
        <v>50</v>
      </c>
      <c r="D39" s="3" t="s">
        <v>0</v>
      </c>
      <c r="E39" s="12" t="s">
        <v>51</v>
      </c>
      <c r="F39" s="36">
        <v>45990</v>
      </c>
      <c r="G39" s="36">
        <v>45991</v>
      </c>
      <c r="H39" s="64">
        <v>2</v>
      </c>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70" outlineLevel="1" x14ac:dyDescent="0.15">
      <c r="A40" s="8"/>
      <c r="B40" s="2" t="s">
        <v>80</v>
      </c>
      <c r="C40" s="14" t="s">
        <v>52</v>
      </c>
      <c r="D40" s="3" t="s">
        <v>0</v>
      </c>
      <c r="E40" s="12" t="s">
        <v>53</v>
      </c>
      <c r="F40" s="36">
        <v>45990</v>
      </c>
      <c r="G40" s="36">
        <v>45991</v>
      </c>
      <c r="H40" s="64">
        <v>2</v>
      </c>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56" outlineLevel="1" x14ac:dyDescent="0.15">
      <c r="A41" s="8"/>
      <c r="B41" s="2" t="s">
        <v>81</v>
      </c>
      <c r="C41" s="14" t="s">
        <v>54</v>
      </c>
      <c r="D41" s="3" t="s">
        <v>0</v>
      </c>
      <c r="E41" s="12" t="s">
        <v>55</v>
      </c>
      <c r="F41" s="36">
        <v>45990</v>
      </c>
      <c r="G41" s="36">
        <v>45991</v>
      </c>
      <c r="H41" s="64">
        <v>2</v>
      </c>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15" outlineLevel="1" x14ac:dyDescent="0.15">
      <c r="A42" s="8"/>
      <c r="B42" s="2"/>
      <c r="C42" s="14" t="s">
        <v>15</v>
      </c>
      <c r="D42" s="3" t="s">
        <v>3</v>
      </c>
      <c r="E42" s="13"/>
      <c r="F42" s="36">
        <v>45983</v>
      </c>
      <c r="G42" s="36">
        <v>45999</v>
      </c>
      <c r="H42" s="64"/>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16" outlineLevel="1" thickBot="1" x14ac:dyDescent="0.2">
      <c r="A43" s="8"/>
      <c r="B43" s="16"/>
      <c r="C43" s="14" t="s">
        <v>14</v>
      </c>
      <c r="D43" s="15" t="s">
        <v>3</v>
      </c>
      <c r="E43" s="17"/>
      <c r="F43" s="38">
        <v>45992</v>
      </c>
      <c r="G43" s="39">
        <v>45992</v>
      </c>
      <c r="H43" s="64">
        <f t="shared" si="2"/>
        <v>1</v>
      </c>
      <c r="I43" s="16"/>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ht="300" customHeight="1" x14ac:dyDescent="0.15">
      <c r="A44" s="1"/>
      <c r="B44" s="1"/>
      <c r="C44" s="1"/>
      <c r="D44" s="1"/>
      <c r="E44" s="1"/>
      <c r="F44" s="32"/>
      <c r="G44" s="32"/>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row>
    <row r="45" spans="1:258" ht="300" customHeight="1" x14ac:dyDescent="0.15">
      <c r="A45" s="1"/>
      <c r="B45" s="1"/>
      <c r="C45" s="1"/>
      <c r="D45" s="1"/>
      <c r="E45" s="1"/>
      <c r="F45" s="32"/>
      <c r="G45" s="32"/>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row>
    <row r="46" spans="1:258" x14ac:dyDescent="0.15">
      <c r="A46" s="1"/>
      <c r="B46" s="1"/>
      <c r="C46" s="1"/>
      <c r="D46" s="1"/>
      <c r="E46" s="1"/>
      <c r="F46" s="32"/>
      <c r="G46" s="32"/>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row>
    <row r="47" spans="1:258" x14ac:dyDescent="0.15">
      <c r="A47" s="1"/>
      <c r="B47" s="1"/>
      <c r="C47" s="1"/>
      <c r="D47" s="1"/>
      <c r="E47" s="1"/>
      <c r="F47" s="32"/>
      <c r="G47" s="32"/>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row>
    <row r="48" spans="1:258" x14ac:dyDescent="0.15">
      <c r="A48" s="1"/>
      <c r="B48" s="1"/>
      <c r="C48" s="1"/>
      <c r="D48" s="1"/>
      <c r="E48" s="1"/>
      <c r="F48" s="32"/>
      <c r="G48" s="32"/>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row>
    <row r="49" spans="1:258" x14ac:dyDescent="0.15">
      <c r="A49" s="1"/>
      <c r="B49" s="1"/>
      <c r="C49" s="1"/>
      <c r="D49" s="1"/>
      <c r="E49" s="1"/>
      <c r="F49" s="32"/>
      <c r="G49" s="32"/>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row>
    <row r="50" spans="1:258" x14ac:dyDescent="0.15">
      <c r="A50" s="1"/>
      <c r="B50" s="1"/>
      <c r="C50" s="1"/>
      <c r="D50" s="1"/>
      <c r="E50" s="1"/>
      <c r="F50" s="32"/>
      <c r="G50" s="32"/>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row>
    <row r="51" spans="1:258" x14ac:dyDescent="0.15">
      <c r="A51" s="1"/>
      <c r="B51" s="1"/>
      <c r="C51" s="1"/>
      <c r="D51" s="1"/>
      <c r="E51" s="1"/>
      <c r="F51" s="32"/>
      <c r="G51" s="32"/>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row>
    <row r="52" spans="1:258" x14ac:dyDescent="0.15">
      <c r="A52" s="1"/>
      <c r="B52" s="1"/>
      <c r="C52" s="1"/>
      <c r="D52" s="1"/>
      <c r="E52" s="1"/>
      <c r="F52" s="32"/>
      <c r="G52" s="32"/>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row>
    <row r="53" spans="1:258" x14ac:dyDescent="0.15">
      <c r="A53" s="1"/>
      <c r="B53" s="1"/>
      <c r="C53" s="1"/>
      <c r="D53" s="1"/>
      <c r="E53" s="1"/>
      <c r="F53" s="32"/>
      <c r="G53" s="32"/>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row>
    <row r="54" spans="1:258" x14ac:dyDescent="0.15">
      <c r="A54" s="1"/>
      <c r="B54" s="1"/>
      <c r="C54" s="1"/>
      <c r="D54" s="1"/>
      <c r="E54" s="1"/>
      <c r="F54" s="32"/>
      <c r="G54" s="32"/>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row>
    <row r="55" spans="1:258" x14ac:dyDescent="0.15">
      <c r="A55" s="1"/>
      <c r="B55" s="1"/>
      <c r="C55" s="1"/>
      <c r="D55" s="1"/>
      <c r="E55" s="1"/>
      <c r="F55" s="32"/>
      <c r="G55" s="32"/>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row>
    <row r="56" spans="1:258" x14ac:dyDescent="0.15">
      <c r="A56" s="1"/>
      <c r="B56" s="1"/>
      <c r="C56" s="1"/>
      <c r="D56" s="1"/>
      <c r="E56" s="1"/>
      <c r="F56" s="32"/>
      <c r="G56" s="32"/>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row>
    <row r="57" spans="1:258" x14ac:dyDescent="0.15">
      <c r="A57" s="1"/>
      <c r="B57" s="1"/>
      <c r="C57" s="1"/>
      <c r="D57" s="1"/>
      <c r="E57" s="1"/>
      <c r="F57" s="32"/>
      <c r="G57" s="32"/>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row>
    <row r="58" spans="1:258" x14ac:dyDescent="0.15">
      <c r="A58" s="1"/>
      <c r="B58" s="1"/>
      <c r="C58" s="1"/>
      <c r="D58" s="1"/>
      <c r="E58" s="1"/>
      <c r="F58" s="32"/>
      <c r="G58" s="32"/>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row>
    <row r="59" spans="1:258" x14ac:dyDescent="0.15">
      <c r="A59" s="1"/>
      <c r="B59" s="1"/>
      <c r="C59" s="1"/>
      <c r="D59" s="1"/>
      <c r="E59" s="1"/>
      <c r="F59" s="32"/>
      <c r="G59" s="32"/>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row>
    <row r="60" spans="1:258" x14ac:dyDescent="0.15">
      <c r="A60" s="1"/>
      <c r="B60" s="1"/>
      <c r="C60" s="1"/>
      <c r="D60" s="1"/>
      <c r="E60" s="1"/>
      <c r="F60" s="32"/>
      <c r="G60" s="32"/>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row>
    <row r="61" spans="1:258" x14ac:dyDescent="0.15">
      <c r="A61" s="1"/>
      <c r="B61" s="1"/>
      <c r="C61" s="1"/>
      <c r="D61" s="1"/>
      <c r="E61" s="1"/>
      <c r="F61" s="32"/>
      <c r="G61" s="32"/>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row>
    <row r="62" spans="1:258" x14ac:dyDescent="0.15">
      <c r="A62" s="1"/>
      <c r="B62" s="1"/>
      <c r="C62" s="1"/>
      <c r="D62" s="1"/>
      <c r="E62" s="1"/>
      <c r="F62" s="32"/>
      <c r="G62" s="32"/>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row>
    <row r="63" spans="1:258" x14ac:dyDescent="0.15">
      <c r="A63" s="1"/>
      <c r="B63" s="1"/>
      <c r="C63" s="1"/>
      <c r="D63" s="1"/>
      <c r="E63" s="1"/>
      <c r="F63" s="32"/>
      <c r="G63" s="32"/>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row>
    <row r="64" spans="1:258" x14ac:dyDescent="0.15">
      <c r="A64" s="1"/>
      <c r="B64" s="1"/>
      <c r="C64" s="1"/>
      <c r="D64" s="1"/>
      <c r="E64" s="1"/>
      <c r="F64" s="32"/>
      <c r="G64" s="32"/>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x14ac:dyDescent="0.15">
      <c r="A65" s="1"/>
      <c r="B65" s="1"/>
      <c r="C65" s="1"/>
      <c r="D65" s="1"/>
      <c r="E65" s="1"/>
      <c r="F65" s="32"/>
      <c r="G65" s="32"/>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2"/>
      <c r="G66" s="32"/>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2"/>
      <c r="G67" s="32"/>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2"/>
      <c r="G68" s="32"/>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2"/>
      <c r="G69" s="32"/>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2"/>
      <c r="G70" s="32"/>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2"/>
      <c r="G71" s="32"/>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2"/>
      <c r="G72" s="32"/>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2"/>
      <c r="G73" s="32"/>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2"/>
      <c r="G74" s="32"/>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2"/>
      <c r="G75" s="32"/>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2"/>
      <c r="G76" s="32"/>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2"/>
      <c r="G77" s="32"/>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2"/>
      <c r="G78" s="32"/>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2"/>
      <c r="G79" s="32"/>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2"/>
      <c r="G80" s="32"/>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2"/>
      <c r="G81" s="32"/>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2"/>
      <c r="G82" s="32"/>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2"/>
      <c r="G83" s="32"/>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2"/>
      <c r="G84" s="32"/>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2"/>
      <c r="G85" s="32"/>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2"/>
      <c r="G86" s="32"/>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2"/>
      <c r="G87" s="32"/>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2"/>
      <c r="G88" s="32"/>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2"/>
      <c r="G89" s="32"/>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2"/>
      <c r="G90" s="32"/>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2"/>
      <c r="G91" s="32"/>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2"/>
      <c r="G92" s="32"/>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2"/>
      <c r="G93" s="32"/>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2"/>
      <c r="G94" s="32"/>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2"/>
      <c r="G95" s="32"/>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2"/>
      <c r="G96" s="32"/>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2"/>
      <c r="G97" s="32"/>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2"/>
      <c r="G98" s="32"/>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2"/>
      <c r="G99" s="32"/>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2"/>
      <c r="G100" s="32"/>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2"/>
      <c r="G101" s="32"/>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2"/>
      <c r="G102" s="32"/>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2"/>
      <c r="G103" s="32"/>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2"/>
      <c r="G104" s="32"/>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2"/>
      <c r="G105" s="32"/>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2"/>
      <c r="G106" s="32"/>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2"/>
      <c r="G107" s="32"/>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2"/>
      <c r="G108" s="32"/>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2"/>
      <c r="G109" s="32"/>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2"/>
      <c r="G110" s="32"/>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2"/>
      <c r="G111" s="32"/>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2"/>
      <c r="G112" s="32"/>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2"/>
      <c r="G113" s="32"/>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2"/>
      <c r="G114" s="32"/>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2"/>
      <c r="G115" s="32"/>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2"/>
      <c r="G116" s="32"/>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2"/>
      <c r="G117" s="32"/>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2"/>
      <c r="G118" s="32"/>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2"/>
      <c r="G119" s="32"/>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2"/>
      <c r="G120" s="32"/>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2"/>
      <c r="G121" s="32"/>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2"/>
      <c r="G122" s="32"/>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2"/>
      <c r="G123" s="32"/>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2"/>
      <c r="G124" s="32"/>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2"/>
      <c r="G125" s="32"/>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2"/>
      <c r="G126" s="32"/>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2"/>
      <c r="G127" s="32"/>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2"/>
      <c r="G128" s="32"/>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2"/>
      <c r="G129" s="32"/>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2"/>
      <c r="G130" s="32"/>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2"/>
      <c r="G131" s="32"/>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2"/>
      <c r="G132" s="32"/>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2"/>
      <c r="G133" s="32"/>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2"/>
      <c r="G134" s="32"/>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2"/>
      <c r="G135" s="32"/>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2"/>
      <c r="G136" s="32"/>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2"/>
      <c r="G137" s="32"/>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2"/>
      <c r="G138" s="32"/>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2"/>
      <c r="G139" s="32"/>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2"/>
      <c r="G140" s="32"/>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2"/>
      <c r="G141" s="32"/>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2"/>
      <c r="G142" s="32"/>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2"/>
      <c r="G143" s="32"/>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2"/>
      <c r="G144" s="32"/>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2"/>
      <c r="G145" s="32"/>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2"/>
      <c r="G146" s="32"/>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2"/>
      <c r="G147" s="32"/>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2"/>
      <c r="G148" s="32"/>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2"/>
      <c r="G149" s="32"/>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2"/>
      <c r="G150" s="32"/>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2"/>
      <c r="G151" s="32"/>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2"/>
      <c r="G152" s="32"/>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2"/>
      <c r="G153" s="32"/>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2"/>
      <c r="G154" s="32"/>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2"/>
      <c r="G155" s="32"/>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2"/>
      <c r="G156" s="32"/>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2"/>
      <c r="G157" s="32"/>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2"/>
      <c r="G158" s="32"/>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2"/>
      <c r="G159" s="32"/>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2"/>
      <c r="G160" s="32"/>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2"/>
      <c r="G161" s="32"/>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2"/>
      <c r="G162" s="32"/>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2"/>
      <c r="G163" s="32"/>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2"/>
      <c r="G164" s="32"/>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2"/>
      <c r="G165" s="32"/>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2"/>
      <c r="G166" s="32"/>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2"/>
      <c r="G167" s="32"/>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2"/>
      <c r="G168" s="32"/>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2"/>
      <c r="G169" s="32"/>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2"/>
      <c r="G170" s="32"/>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2"/>
      <c r="G171" s="32"/>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2"/>
      <c r="G172" s="32"/>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2"/>
      <c r="G173" s="32"/>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2"/>
      <c r="G174" s="32"/>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2"/>
      <c r="G175" s="32"/>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2"/>
      <c r="G176" s="32"/>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2"/>
      <c r="G177" s="32"/>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2"/>
      <c r="G178" s="32"/>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2"/>
      <c r="G179" s="32"/>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2"/>
      <c r="G180" s="32"/>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2"/>
      <c r="G181" s="32"/>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2"/>
      <c r="G182" s="32"/>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2"/>
      <c r="G183" s="32"/>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2"/>
      <c r="G184" s="32"/>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2"/>
      <c r="G185" s="32"/>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2"/>
      <c r="G186" s="32"/>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2"/>
      <c r="G187" s="32"/>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2"/>
      <c r="G188" s="32"/>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2"/>
      <c r="G189" s="32"/>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2"/>
      <c r="G190" s="32"/>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2"/>
      <c r="G191" s="32"/>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2"/>
      <c r="G192" s="32"/>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2"/>
      <c r="G193" s="32"/>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2"/>
      <c r="G194" s="32"/>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2"/>
      <c r="G195" s="32"/>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2"/>
      <c r="G196" s="32"/>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2"/>
      <c r="G197" s="32"/>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2"/>
      <c r="G198" s="32"/>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2"/>
      <c r="G199" s="32"/>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2"/>
      <c r="G200" s="32"/>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2"/>
      <c r="G201" s="32"/>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2"/>
      <c r="G202" s="32"/>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2"/>
      <c r="G203" s="32"/>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2"/>
      <c r="G204" s="32"/>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2"/>
      <c r="G205" s="32"/>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2"/>
      <c r="G206" s="32"/>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2"/>
      <c r="G207" s="32"/>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2"/>
      <c r="G208" s="32"/>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2"/>
      <c r="G209" s="32"/>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2"/>
      <c r="G210" s="32"/>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2"/>
      <c r="G211" s="32"/>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2"/>
      <c r="G212" s="32"/>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2"/>
      <c r="G213" s="32"/>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2"/>
      <c r="G214" s="32"/>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2"/>
      <c r="G215" s="32"/>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2"/>
      <c r="G216" s="32"/>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2"/>
      <c r="G217" s="32"/>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2"/>
      <c r="G218" s="32"/>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2"/>
      <c r="G219" s="32"/>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2"/>
      <c r="G220" s="32"/>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2"/>
      <c r="G221" s="32"/>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2"/>
      <c r="G222" s="32"/>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2"/>
      <c r="G223" s="32"/>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2"/>
      <c r="G224" s="32"/>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2"/>
      <c r="G225" s="32"/>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2"/>
      <c r="G226" s="32"/>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2"/>
      <c r="G227" s="32"/>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2"/>
      <c r="G228" s="32"/>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2"/>
      <c r="G229" s="32"/>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2"/>
      <c r="G230" s="32"/>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2"/>
      <c r="G231" s="32"/>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2"/>
      <c r="G232" s="32"/>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2"/>
      <c r="G233" s="32"/>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2"/>
      <c r="G234" s="32"/>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2"/>
      <c r="G235" s="32"/>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2"/>
      <c r="G236" s="32"/>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2"/>
      <c r="G237" s="32"/>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2"/>
      <c r="G238" s="32"/>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2"/>
      <c r="G239" s="32"/>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2"/>
      <c r="G240" s="32"/>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2"/>
      <c r="G241" s="32"/>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2"/>
      <c r="G242" s="32"/>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2"/>
      <c r="G243" s="32"/>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2"/>
      <c r="G244" s="32"/>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2"/>
      <c r="G245" s="32"/>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2"/>
      <c r="G246" s="32"/>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2"/>
      <c r="G247" s="32"/>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2"/>
      <c r="G248" s="32"/>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2"/>
      <c r="G249" s="32"/>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2"/>
      <c r="G250" s="32"/>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2"/>
      <c r="G251" s="32"/>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2"/>
      <c r="G252" s="32"/>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2"/>
      <c r="G253" s="32"/>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2"/>
      <c r="G254" s="32"/>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2"/>
      <c r="G255" s="32"/>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2"/>
      <c r="G256" s="32"/>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2"/>
      <c r="G257" s="32"/>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2"/>
      <c r="G258" s="32"/>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2"/>
      <c r="G259" s="32"/>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2"/>
      <c r="G260" s="32"/>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2"/>
      <c r="G261" s="32"/>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2"/>
      <c r="G262" s="32"/>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2"/>
      <c r="G263" s="32"/>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2"/>
      <c r="G264" s="32"/>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2"/>
      <c r="G265" s="32"/>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2"/>
      <c r="G266" s="32"/>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2"/>
      <c r="G267" s="32"/>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2"/>
      <c r="G268" s="32"/>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2"/>
      <c r="G269" s="32"/>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2"/>
      <c r="G270" s="32"/>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2"/>
      <c r="G271" s="32"/>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2"/>
      <c r="G272" s="32"/>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2"/>
      <c r="G273" s="32"/>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2"/>
      <c r="G274" s="32"/>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2"/>
      <c r="G275" s="32"/>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2"/>
      <c r="G276" s="32"/>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2"/>
      <c r="G277" s="32"/>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2"/>
      <c r="G278" s="32"/>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2"/>
      <c r="G279" s="32"/>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2"/>
      <c r="G280" s="32"/>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2"/>
      <c r="G281" s="32"/>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2"/>
      <c r="G282" s="32"/>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2"/>
      <c r="G283" s="32"/>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2"/>
      <c r="G284" s="32"/>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2"/>
      <c r="G285" s="32"/>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2"/>
      <c r="G286" s="32"/>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2"/>
      <c r="G287" s="32"/>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2"/>
      <c r="G288" s="32"/>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2"/>
      <c r="G289" s="32"/>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2"/>
      <c r="G290" s="32"/>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2"/>
      <c r="G291" s="32"/>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2"/>
      <c r="G292" s="32"/>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2"/>
      <c r="G293" s="32"/>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2"/>
      <c r="G294" s="32"/>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2"/>
      <c r="G295" s="32"/>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2"/>
      <c r="G296" s="32"/>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2"/>
      <c r="G297" s="32"/>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2"/>
      <c r="G298" s="32"/>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2"/>
      <c r="G299" s="32"/>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2"/>
      <c r="G300" s="32"/>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2"/>
      <c r="G301" s="32"/>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2"/>
      <c r="G302" s="32"/>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2"/>
      <c r="G303" s="32"/>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2"/>
      <c r="G304" s="32"/>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2"/>
      <c r="G305" s="32"/>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2"/>
      <c r="G306" s="32"/>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2"/>
      <c r="G307" s="32"/>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2"/>
      <c r="G308" s="32"/>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2"/>
      <c r="G309" s="32"/>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2"/>
      <c r="G310" s="32"/>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2"/>
      <c r="G311" s="32"/>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2"/>
      <c r="G312" s="32"/>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2"/>
      <c r="G313" s="32"/>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2"/>
      <c r="G314" s="32"/>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2"/>
      <c r="G315" s="32"/>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2"/>
      <c r="G316" s="32"/>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2"/>
      <c r="G317" s="32"/>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2"/>
      <c r="G318" s="32"/>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2"/>
      <c r="G319" s="32"/>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2"/>
      <c r="G320" s="32"/>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2"/>
      <c r="G321" s="32"/>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2"/>
      <c r="G322" s="32"/>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2"/>
      <c r="G323" s="32"/>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2"/>
      <c r="G324" s="32"/>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2"/>
      <c r="G325" s="32"/>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2"/>
      <c r="G326" s="32"/>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2"/>
      <c r="G327" s="32"/>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2"/>
      <c r="G328" s="32"/>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2"/>
      <c r="G329" s="32"/>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2"/>
      <c r="G330" s="32"/>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2"/>
      <c r="G331" s="32"/>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2"/>
      <c r="G332" s="32"/>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2"/>
      <c r="G333" s="32"/>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2"/>
      <c r="G334" s="32"/>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2"/>
      <c r="G335" s="32"/>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2"/>
      <c r="G336" s="32"/>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2"/>
      <c r="G337" s="32"/>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2"/>
      <c r="G338" s="32"/>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2"/>
      <c r="G339" s="32"/>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2"/>
      <c r="G340" s="32"/>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2"/>
      <c r="G341" s="32"/>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2"/>
      <c r="G342" s="32"/>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2"/>
      <c r="G343" s="32"/>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2"/>
      <c r="G344" s="32"/>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2"/>
      <c r="G345" s="32"/>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2"/>
      <c r="G346" s="32"/>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2"/>
      <c r="G347" s="32"/>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2"/>
      <c r="G348" s="32"/>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2"/>
      <c r="G349" s="32"/>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2"/>
      <c r="G350" s="32"/>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2"/>
      <c r="G351" s="32"/>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2"/>
      <c r="G352" s="32"/>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2"/>
      <c r="G353" s="32"/>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2"/>
      <c r="G354" s="32"/>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2"/>
      <c r="G355" s="32"/>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2"/>
      <c r="G356" s="32"/>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2"/>
      <c r="G357" s="32"/>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2"/>
      <c r="G358" s="32"/>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2"/>
      <c r="G359" s="32"/>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2"/>
      <c r="G360" s="32"/>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2"/>
      <c r="G361" s="32"/>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2"/>
      <c r="G362" s="32"/>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2"/>
      <c r="G363" s="32"/>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2"/>
      <c r="G364" s="32"/>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2"/>
      <c r="G365" s="32"/>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2"/>
      <c r="G366" s="32"/>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2"/>
      <c r="G367" s="32"/>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2"/>
      <c r="G368" s="32"/>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2"/>
      <c r="G369" s="32"/>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2"/>
      <c r="G370" s="32"/>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2"/>
      <c r="G371" s="32"/>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2"/>
      <c r="G372" s="32"/>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2"/>
      <c r="G373" s="32"/>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2"/>
      <c r="G374" s="32"/>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2"/>
      <c r="G375" s="32"/>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2"/>
      <c r="G376" s="32"/>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2"/>
      <c r="G377" s="32"/>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2"/>
      <c r="G378" s="32"/>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2"/>
      <c r="G379" s="32"/>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2"/>
      <c r="G380" s="32"/>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2"/>
      <c r="G381" s="32"/>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2"/>
      <c r="G382" s="32"/>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2"/>
      <c r="G383" s="32"/>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2"/>
      <c r="G384" s="32"/>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82" x14ac:dyDescent="0.15">
      <c r="A385" s="1"/>
      <c r="B385" s="1"/>
      <c r="C385" s="1"/>
      <c r="D385" s="1"/>
      <c r="E385" s="1"/>
      <c r="F385" s="32"/>
      <c r="G385" s="32"/>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82" x14ac:dyDescent="0.15">
      <c r="A386" s="1"/>
      <c r="B386" s="1"/>
      <c r="C386" s="1"/>
      <c r="D386" s="1"/>
      <c r="E386" s="1"/>
      <c r="F386" s="32"/>
      <c r="G386" s="32"/>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82" x14ac:dyDescent="0.15">
      <c r="A387" s="1"/>
      <c r="B387" s="1"/>
      <c r="C387" s="1"/>
      <c r="D387" s="1"/>
      <c r="E387" s="1"/>
      <c r="F387" s="32"/>
      <c r="G387" s="32"/>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82" x14ac:dyDescent="0.15">
      <c r="A388" s="1"/>
      <c r="B388" s="1"/>
      <c r="C388" s="1"/>
      <c r="D388" s="1"/>
      <c r="E388" s="1"/>
      <c r="F388" s="32"/>
      <c r="G388" s="32"/>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82" x14ac:dyDescent="0.15">
      <c r="A389" s="1"/>
      <c r="B389" s="1"/>
      <c r="C389" s="1"/>
      <c r="D389" s="1"/>
      <c r="E389" s="1"/>
      <c r="F389" s="32"/>
      <c r="G389" s="32"/>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82" x14ac:dyDescent="0.15">
      <c r="A390" s="1"/>
      <c r="B390" s="1"/>
      <c r="C390" s="1"/>
      <c r="D390" s="1"/>
      <c r="E390" s="1"/>
      <c r="F390" s="32"/>
      <c r="G390" s="32"/>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82" x14ac:dyDescent="0.15">
      <c r="A391" s="1"/>
      <c r="B391" s="1"/>
      <c r="C391" s="1"/>
      <c r="D391" s="1"/>
      <c r="E391" s="1"/>
      <c r="F391" s="32"/>
      <c r="G391" s="32"/>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82" x14ac:dyDescent="0.15">
      <c r="A392" s="1"/>
      <c r="B392" s="1"/>
      <c r="C392" s="1"/>
      <c r="D392" s="1"/>
      <c r="E392" s="1"/>
      <c r="F392" s="32"/>
      <c r="G392" s="32"/>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82" x14ac:dyDescent="0.15">
      <c r="A393" s="1"/>
      <c r="B393" s="1"/>
      <c r="C393" s="1"/>
      <c r="D393" s="1"/>
      <c r="E393" s="1"/>
      <c r="F393" s="32"/>
      <c r="G393" s="32"/>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82" x14ac:dyDescent="0.15">
      <c r="A394" s="1"/>
      <c r="B394" s="1"/>
      <c r="C394" s="1"/>
      <c r="D394" s="1"/>
      <c r="E394" s="1"/>
      <c r="F394" s="32"/>
      <c r="G394" s="32"/>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82" x14ac:dyDescent="0.15">
      <c r="A395" s="1"/>
      <c r="B395" s="1"/>
      <c r="C395" s="1"/>
      <c r="D395" s="1"/>
      <c r="E395" s="1"/>
      <c r="F395" s="32"/>
      <c r="G395" s="32"/>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82" x14ac:dyDescent="0.15">
      <c r="A396" s="1"/>
      <c r="B396" s="1"/>
      <c r="C396" s="1"/>
      <c r="D396" s="1"/>
      <c r="E396" s="1"/>
      <c r="F396" s="32"/>
      <c r="G396" s="32"/>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82" x14ac:dyDescent="0.15">
      <c r="A397" s="1"/>
      <c r="B397" s="1"/>
      <c r="C397" s="1"/>
      <c r="D397" s="1"/>
      <c r="E397" s="1"/>
      <c r="F397" s="32"/>
      <c r="G397" s="32"/>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82" x14ac:dyDescent="0.15">
      <c r="A398" s="1"/>
      <c r="B398" s="1"/>
      <c r="C398" s="1"/>
      <c r="D398" s="1"/>
      <c r="E398" s="1"/>
      <c r="F398" s="32"/>
      <c r="G398" s="32"/>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82" x14ac:dyDescent="0.15">
      <c r="A399" s="1"/>
      <c r="B399" s="1"/>
      <c r="C399" s="1"/>
      <c r="D399" s="1"/>
      <c r="E399" s="1"/>
      <c r="F399" s="32"/>
      <c r="G399" s="32"/>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82" x14ac:dyDescent="0.15">
      <c r="A400" s="1"/>
      <c r="B400" s="1"/>
      <c r="C400" s="1"/>
      <c r="D400" s="1"/>
      <c r="E400" s="1"/>
      <c r="F400" s="32"/>
      <c r="G400" s="32"/>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row>
    <row r="401" spans="1:282" x14ac:dyDescent="0.15">
      <c r="A401" s="1"/>
      <c r="B401" s="1"/>
      <c r="C401" s="1"/>
      <c r="D401" s="1"/>
      <c r="E401" s="1"/>
      <c r="F401" s="32"/>
      <c r="G401" s="32"/>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row>
    <row r="402" spans="1:282" x14ac:dyDescent="0.15">
      <c r="A402" s="1"/>
      <c r="B402" s="1"/>
      <c r="C402" s="1"/>
      <c r="D402" s="1"/>
      <c r="E402" s="1"/>
      <c r="F402" s="32"/>
      <c r="G402" s="32"/>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row>
    <row r="403" spans="1:282" x14ac:dyDescent="0.15">
      <c r="A403" s="1"/>
      <c r="B403" s="1"/>
      <c r="C403" s="1"/>
      <c r="D403" s="1"/>
      <c r="E403" s="1"/>
      <c r="F403" s="32"/>
      <c r="G403" s="32"/>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row>
    <row r="404" spans="1:282" x14ac:dyDescent="0.15">
      <c r="A404" s="1"/>
      <c r="B404" s="1"/>
      <c r="C404" s="1"/>
      <c r="D404" s="1"/>
      <c r="E404" s="1"/>
      <c r="F404" s="32"/>
      <c r="G404" s="32"/>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row>
    <row r="405" spans="1:282" x14ac:dyDescent="0.15">
      <c r="A405" s="1"/>
      <c r="B405" s="1"/>
      <c r="C405" s="1"/>
      <c r="D405" s="1"/>
      <c r="E405" s="1"/>
      <c r="F405" s="32"/>
      <c r="G405" s="32"/>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row>
    <row r="406" spans="1:282" x14ac:dyDescent="0.15">
      <c r="A406" s="1"/>
      <c r="B406" s="1"/>
      <c r="C406" s="1"/>
      <c r="D406" s="1"/>
      <c r="E406" s="1"/>
      <c r="F406" s="32"/>
      <c r="G406" s="32"/>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row>
    <row r="407" spans="1:282" x14ac:dyDescent="0.15">
      <c r="A407" s="1"/>
      <c r="B407" s="1"/>
      <c r="C407" s="1"/>
      <c r="D407" s="1"/>
      <c r="E407" s="1"/>
      <c r="F407" s="32"/>
      <c r="G407" s="32"/>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row>
    <row r="408" spans="1:282" x14ac:dyDescent="0.15">
      <c r="A408" s="1"/>
      <c r="B408" s="1"/>
      <c r="C408" s="1"/>
      <c r="D408" s="1"/>
      <c r="E408" s="1"/>
      <c r="F408" s="32"/>
      <c r="G408" s="32"/>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row>
    <row r="409" spans="1:282" x14ac:dyDescent="0.15">
      <c r="A409" s="1"/>
      <c r="B409" s="1"/>
      <c r="C409" s="1"/>
      <c r="D409" s="1"/>
      <c r="E409" s="1"/>
      <c r="F409" s="32"/>
      <c r="G409" s="32"/>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row>
    <row r="410" spans="1:282" x14ac:dyDescent="0.15">
      <c r="A410" s="1"/>
      <c r="B410" s="1"/>
      <c r="C410" s="1"/>
      <c r="D410" s="1"/>
      <c r="E410" s="1"/>
      <c r="F410" s="32"/>
      <c r="G410" s="32"/>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row>
    <row r="411" spans="1:282" x14ac:dyDescent="0.15">
      <c r="A411" s="1"/>
      <c r="B411" s="1"/>
      <c r="C411" s="1"/>
      <c r="D411" s="1"/>
      <c r="E411" s="1"/>
      <c r="F411" s="32"/>
      <c r="G411" s="32"/>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row>
    <row r="412" spans="1:282" x14ac:dyDescent="0.15">
      <c r="A412" s="1"/>
      <c r="B412" s="1"/>
      <c r="C412" s="1"/>
      <c r="D412" s="1"/>
      <c r="E412" s="1"/>
      <c r="F412" s="32"/>
      <c r="G412" s="32"/>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row>
    <row r="413" spans="1:282" x14ac:dyDescent="0.15">
      <c r="A413" s="1"/>
      <c r="B413" s="1"/>
      <c r="C413" s="1"/>
      <c r="D413" s="1"/>
      <c r="E413" s="1"/>
      <c r="F413" s="32"/>
      <c r="G413" s="32"/>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row>
    <row r="414" spans="1:282" x14ac:dyDescent="0.15">
      <c r="A414" s="1"/>
      <c r="B414" s="1"/>
      <c r="C414" s="1"/>
      <c r="D414" s="1"/>
      <c r="E414" s="1"/>
      <c r="F414" s="32"/>
      <c r="G414" s="32"/>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row>
    <row r="415" spans="1:282" x14ac:dyDescent="0.15">
      <c r="A415" s="1"/>
      <c r="B415" s="1"/>
      <c r="C415" s="1"/>
      <c r="D415" s="1"/>
      <c r="E415" s="1"/>
      <c r="F415" s="32"/>
      <c r="G415" s="32"/>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row>
    <row r="416" spans="1:282" x14ac:dyDescent="0.15">
      <c r="A416" s="1"/>
      <c r="B416" s="1"/>
      <c r="C416" s="1"/>
      <c r="D416" s="1"/>
      <c r="E416" s="1"/>
      <c r="F416" s="32"/>
      <c r="G416" s="32"/>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row>
    <row r="417" spans="1:282" x14ac:dyDescent="0.15">
      <c r="A417" s="1"/>
      <c r="B417" s="1"/>
      <c r="C417" s="1"/>
      <c r="D417" s="1"/>
      <c r="E417" s="1"/>
      <c r="F417" s="32"/>
      <c r="G417" s="32"/>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row>
    <row r="418" spans="1:282" x14ac:dyDescent="0.15">
      <c r="A418" s="1"/>
      <c r="B418" s="1"/>
      <c r="C418" s="1"/>
      <c r="D418" s="1"/>
      <c r="E418" s="1"/>
      <c r="F418" s="32"/>
      <c r="G418" s="32"/>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row>
    <row r="419" spans="1:282" x14ac:dyDescent="0.15">
      <c r="A419" s="1"/>
      <c r="B419" s="1"/>
      <c r="C419" s="1"/>
      <c r="D419" s="1"/>
      <c r="E419" s="1"/>
      <c r="F419" s="32"/>
      <c r="G419" s="32"/>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row>
    <row r="420" spans="1:282" x14ac:dyDescent="0.15">
      <c r="A420" s="1"/>
      <c r="B420" s="1"/>
      <c r="C420" s="1"/>
      <c r="D420" s="1"/>
      <c r="E420" s="1"/>
      <c r="F420" s="32"/>
      <c r="G420" s="32"/>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2"/>
      <c r="G421" s="32"/>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2"/>
      <c r="G422" s="32"/>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2"/>
      <c r="G423" s="32"/>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2"/>
      <c r="G424" s="32"/>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2"/>
      <c r="G425" s="32"/>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2"/>
      <c r="G426" s="32"/>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2"/>
      <c r="G427" s="32"/>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2"/>
      <c r="G428" s="32"/>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2"/>
      <c r="G429" s="32"/>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2"/>
      <c r="G430" s="32"/>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2"/>
      <c r="G431" s="32"/>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2"/>
      <c r="G432" s="32"/>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2"/>
      <c r="G433" s="32"/>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2"/>
      <c r="G434" s="32"/>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2"/>
      <c r="G435" s="32"/>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2"/>
      <c r="G436" s="32"/>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2"/>
      <c r="G437" s="32"/>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2"/>
      <c r="G438" s="32"/>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2"/>
      <c r="G439" s="32"/>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2"/>
      <c r="G440" s="32"/>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2"/>
      <c r="G441" s="32"/>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2"/>
      <c r="G442" s="32"/>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2"/>
      <c r="G443" s="32"/>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2"/>
      <c r="G444" s="32"/>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2"/>
      <c r="G445" s="32"/>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2"/>
      <c r="G446" s="32"/>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2"/>
      <c r="G447" s="32"/>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2"/>
      <c r="G448" s="32"/>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2"/>
      <c r="G449" s="32"/>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2"/>
      <c r="G450" s="32"/>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2"/>
      <c r="G451" s="32"/>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2"/>
      <c r="G452" s="32"/>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2"/>
      <c r="G453" s="32"/>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2"/>
      <c r="G454" s="32"/>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2"/>
      <c r="G455" s="32"/>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2"/>
      <c r="G456" s="32"/>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2"/>
      <c r="G457" s="32"/>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2"/>
      <c r="G458" s="32"/>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2"/>
      <c r="G459" s="32"/>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2"/>
      <c r="G460" s="32"/>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2"/>
      <c r="G461" s="32"/>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2"/>
      <c r="G462" s="32"/>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2"/>
      <c r="G463" s="32"/>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2"/>
      <c r="G464" s="32"/>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2"/>
      <c r="G465" s="32"/>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2"/>
      <c r="G466" s="32"/>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2"/>
      <c r="G467" s="32"/>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2"/>
      <c r="G468" s="32"/>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2"/>
      <c r="G469" s="32"/>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2"/>
      <c r="G470" s="32"/>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2"/>
      <c r="G471" s="32"/>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2"/>
      <c r="G472" s="32"/>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2"/>
      <c r="G473" s="32"/>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2"/>
      <c r="G474" s="32"/>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2"/>
      <c r="G475" s="32"/>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2"/>
      <c r="G476" s="32"/>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2"/>
      <c r="G477" s="32"/>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2"/>
      <c r="G478" s="32"/>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2"/>
      <c r="G479" s="32"/>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2"/>
      <c r="G480" s="32"/>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2"/>
      <c r="G481" s="32"/>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2"/>
      <c r="G482" s="32"/>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2"/>
      <c r="G483" s="32"/>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2"/>
      <c r="G484" s="32"/>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2"/>
      <c r="G485" s="32"/>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2"/>
      <c r="G486" s="32"/>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2"/>
      <c r="G487" s="32"/>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2"/>
      <c r="G488" s="32"/>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2"/>
      <c r="G489" s="32"/>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2"/>
      <c r="G490" s="32"/>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2"/>
      <c r="G491" s="32"/>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2"/>
      <c r="G492" s="32"/>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2"/>
      <c r="G493" s="32"/>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2"/>
      <c r="G494" s="32"/>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2"/>
      <c r="G495" s="32"/>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2"/>
      <c r="G496" s="32"/>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2"/>
      <c r="G497" s="32"/>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2"/>
      <c r="G498" s="32"/>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2"/>
      <c r="G499" s="32"/>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2"/>
      <c r="G500" s="32"/>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2"/>
      <c r="G501" s="32"/>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2"/>
      <c r="G502" s="32"/>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2"/>
      <c r="G503" s="32"/>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2"/>
      <c r="G504" s="32"/>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2"/>
      <c r="G505" s="32"/>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2"/>
      <c r="G506" s="32"/>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2"/>
      <c r="G507" s="32"/>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2"/>
      <c r="G508" s="32"/>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2"/>
      <c r="G509" s="32"/>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2"/>
      <c r="G510" s="32"/>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2"/>
      <c r="G511" s="32"/>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2"/>
      <c r="G512" s="32"/>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2"/>
      <c r="G513" s="32"/>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2"/>
      <c r="G514" s="32"/>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2"/>
      <c r="G515" s="32"/>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2"/>
      <c r="G516" s="32"/>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2"/>
      <c r="G517" s="32"/>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2"/>
      <c r="G518" s="32"/>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2"/>
      <c r="G519" s="32"/>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2"/>
      <c r="G520" s="32"/>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2"/>
      <c r="G521" s="32"/>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2"/>
      <c r="G522" s="32"/>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2"/>
      <c r="G523" s="32"/>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2"/>
      <c r="G524" s="32"/>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2"/>
      <c r="G525" s="32"/>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2"/>
      <c r="G526" s="32"/>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2"/>
      <c r="G527" s="32"/>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2"/>
      <c r="G528" s="32"/>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2"/>
      <c r="G529" s="32"/>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2"/>
      <c r="G530" s="32"/>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2"/>
      <c r="G531" s="32"/>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2"/>
      <c r="G532" s="32"/>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2"/>
      <c r="G533" s="32"/>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2"/>
      <c r="G534" s="32"/>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2"/>
      <c r="G535" s="32"/>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2"/>
      <c r="G536" s="32"/>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2"/>
      <c r="G537" s="32"/>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2"/>
      <c r="G538" s="32"/>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2"/>
      <c r="G539" s="32"/>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2"/>
      <c r="G540" s="32"/>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2"/>
      <c r="G541" s="32"/>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2"/>
      <c r="G542" s="32"/>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2"/>
      <c r="G543" s="32"/>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2"/>
      <c r="G544" s="32"/>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2"/>
      <c r="G545" s="32"/>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2"/>
      <c r="G546" s="32"/>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2"/>
      <c r="G547" s="32"/>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2"/>
      <c r="G548" s="32"/>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2"/>
      <c r="G549" s="32"/>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2"/>
      <c r="G550" s="32"/>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2"/>
      <c r="G551" s="32"/>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2"/>
      <c r="G552" s="32"/>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2"/>
      <c r="G553" s="32"/>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2"/>
      <c r="G554" s="32"/>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2"/>
      <c r="G555" s="32"/>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2"/>
      <c r="G556" s="32"/>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2"/>
      <c r="G557" s="32"/>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2"/>
      <c r="G558" s="32"/>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2"/>
      <c r="G559" s="32"/>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2"/>
      <c r="G560" s="32"/>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2"/>
      <c r="G561" s="32"/>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2"/>
      <c r="G562" s="32"/>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2"/>
      <c r="G563" s="32"/>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2"/>
      <c r="G564" s="32"/>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2"/>
      <c r="G565" s="32"/>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2"/>
      <c r="G566" s="32"/>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2"/>
      <c r="G567" s="32"/>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2"/>
      <c r="G568" s="32"/>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2"/>
      <c r="G569" s="32"/>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2"/>
      <c r="G570" s="32"/>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2"/>
      <c r="G571" s="32"/>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2"/>
      <c r="G572" s="32"/>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2"/>
      <c r="G573" s="32"/>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2"/>
      <c r="G574" s="32"/>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2"/>
      <c r="G575" s="32"/>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2"/>
      <c r="G576" s="32"/>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2"/>
      <c r="G577" s="32"/>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2"/>
      <c r="G578" s="32"/>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2"/>
      <c r="G579" s="32"/>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2"/>
      <c r="G580" s="32"/>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2"/>
      <c r="G581" s="32"/>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2"/>
      <c r="G582" s="32"/>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2"/>
      <c r="G583" s="32"/>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2"/>
      <c r="G584" s="32"/>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2"/>
      <c r="G585" s="32"/>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2"/>
      <c r="G586" s="32"/>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2"/>
      <c r="G587" s="32"/>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2"/>
      <c r="G588" s="32"/>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2"/>
      <c r="G589" s="32"/>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2"/>
      <c r="G590" s="32"/>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2"/>
      <c r="G591" s="32"/>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2"/>
      <c r="G592" s="32"/>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2"/>
      <c r="G593" s="32"/>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2"/>
      <c r="G594" s="32"/>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2"/>
      <c r="G595" s="32"/>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2"/>
      <c r="G596" s="32"/>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2"/>
      <c r="G597" s="32"/>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2"/>
      <c r="G598" s="32"/>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2"/>
      <c r="G599" s="32"/>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2"/>
      <c r="G600" s="32"/>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2"/>
      <c r="G601" s="32"/>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2"/>
      <c r="G602" s="32"/>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2"/>
      <c r="G603" s="32"/>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2"/>
      <c r="G604" s="32"/>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2"/>
      <c r="G605" s="32"/>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2"/>
      <c r="G606" s="32"/>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2"/>
      <c r="G607" s="32"/>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2"/>
      <c r="G608" s="32"/>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2"/>
      <c r="G609" s="32"/>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2"/>
      <c r="G610" s="32"/>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2"/>
      <c r="G611" s="32"/>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2"/>
      <c r="G612" s="32"/>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2"/>
      <c r="G613" s="32"/>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2"/>
      <c r="G614" s="32"/>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2"/>
      <c r="G615" s="32"/>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2"/>
      <c r="G616" s="32"/>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2"/>
      <c r="G617" s="32"/>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2"/>
      <c r="G618" s="32"/>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2"/>
      <c r="G619" s="32"/>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2"/>
      <c r="G620" s="32"/>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2"/>
      <c r="G621" s="32"/>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2"/>
      <c r="G622" s="32"/>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2"/>
      <c r="G623" s="32"/>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2"/>
      <c r="G624" s="32"/>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2"/>
      <c r="G625" s="32"/>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2"/>
      <c r="G626" s="32"/>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2"/>
      <c r="G627" s="32"/>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2"/>
      <c r="G628" s="32"/>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2"/>
      <c r="G629" s="32"/>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2"/>
      <c r="G630" s="32"/>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2"/>
      <c r="G631" s="32"/>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2"/>
      <c r="G632" s="32"/>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2"/>
      <c r="G633" s="32"/>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2"/>
      <c r="G634" s="32"/>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2"/>
      <c r="G635" s="32"/>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2"/>
      <c r="G636" s="32"/>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2"/>
      <c r="G637" s="32"/>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2"/>
      <c r="G638" s="32"/>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2"/>
      <c r="G639" s="32"/>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2"/>
      <c r="G640" s="32"/>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2"/>
      <c r="G641" s="32"/>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2"/>
      <c r="G642" s="32"/>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2"/>
      <c r="G643" s="32"/>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2"/>
      <c r="G644" s="32"/>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2"/>
      <c r="G645" s="32"/>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2"/>
      <c r="G646" s="32"/>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2"/>
      <c r="G647" s="32"/>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2"/>
      <c r="G648" s="32"/>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2"/>
      <c r="G649" s="32"/>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2"/>
      <c r="G650" s="32"/>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2"/>
      <c r="G651" s="32"/>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2"/>
      <c r="G652" s="32"/>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2"/>
      <c r="G653" s="32"/>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2"/>
      <c r="G654" s="32"/>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2"/>
      <c r="G655" s="32"/>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2"/>
      <c r="G656" s="32"/>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2"/>
      <c r="G657" s="32"/>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2"/>
      <c r="G658" s="32"/>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2"/>
      <c r="G659" s="32"/>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2"/>
      <c r="G660" s="32"/>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2"/>
      <c r="G661" s="32"/>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2"/>
      <c r="G662" s="32"/>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2"/>
      <c r="G663" s="32"/>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2"/>
      <c r="G664" s="32"/>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2"/>
      <c r="G665" s="32"/>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2"/>
      <c r="G666" s="32"/>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2"/>
      <c r="G667" s="32"/>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2"/>
      <c r="G668" s="32"/>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2"/>
      <c r="G669" s="32"/>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2"/>
      <c r="G670" s="32"/>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2"/>
      <c r="G671" s="32"/>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2"/>
      <c r="G672" s="32"/>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2"/>
      <c r="G673" s="32"/>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2"/>
      <c r="G674" s="32"/>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2"/>
      <c r="G675" s="32"/>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2"/>
      <c r="G676" s="32"/>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2"/>
      <c r="G677" s="32"/>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2"/>
      <c r="G678" s="32"/>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2"/>
      <c r="G679" s="32"/>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2"/>
      <c r="G680" s="32"/>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2"/>
      <c r="G681" s="32"/>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2"/>
      <c r="G682" s="32"/>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2"/>
      <c r="G683" s="32"/>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2"/>
      <c r="G684" s="32"/>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2"/>
      <c r="G685" s="32"/>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2"/>
      <c r="G686" s="32"/>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2"/>
      <c r="G687" s="32"/>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2"/>
      <c r="G688" s="32"/>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2"/>
      <c r="G689" s="32"/>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2"/>
      <c r="G690" s="32"/>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2"/>
      <c r="G691" s="32"/>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2"/>
      <c r="G692" s="32"/>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2"/>
      <c r="G693" s="32"/>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2"/>
      <c r="G694" s="32"/>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2"/>
      <c r="G695" s="32"/>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2"/>
      <c r="G696" s="32"/>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2"/>
      <c r="G697" s="32"/>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2"/>
      <c r="G698" s="32"/>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2"/>
      <c r="G699" s="32"/>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2"/>
      <c r="G700" s="32"/>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2"/>
      <c r="G701" s="32"/>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2"/>
      <c r="G702" s="32"/>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2"/>
      <c r="G703" s="32"/>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2"/>
      <c r="G704" s="32"/>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2"/>
      <c r="G705" s="32"/>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2"/>
      <c r="G706" s="32"/>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2"/>
      <c r="G707" s="32"/>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2"/>
      <c r="G708" s="32"/>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2"/>
      <c r="G709" s="32"/>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2"/>
      <c r="G710" s="32"/>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2"/>
      <c r="G711" s="32"/>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2"/>
      <c r="G712" s="32"/>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2"/>
      <c r="G713" s="32"/>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2"/>
      <c r="G714" s="32"/>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2"/>
      <c r="G715" s="32"/>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2"/>
      <c r="G716" s="32"/>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2"/>
      <c r="G717" s="32"/>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2"/>
      <c r="G718" s="32"/>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2"/>
      <c r="G719" s="32"/>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2"/>
      <c r="G720" s="32"/>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2"/>
      <c r="G721" s="32"/>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2"/>
      <c r="G722" s="32"/>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2"/>
      <c r="G723" s="32"/>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2"/>
      <c r="G724" s="32"/>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2"/>
      <c r="G725" s="32"/>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2"/>
      <c r="G726" s="32"/>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2"/>
      <c r="G727" s="32"/>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2"/>
      <c r="G728" s="32"/>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2"/>
      <c r="G729" s="32"/>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2"/>
      <c r="G730" s="32"/>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2"/>
      <c r="G731" s="32"/>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2"/>
      <c r="G732" s="32"/>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2"/>
      <c r="G733" s="32"/>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2"/>
      <c r="G734" s="32"/>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2"/>
      <c r="G735" s="32"/>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2"/>
      <c r="G736" s="32"/>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2"/>
      <c r="G737" s="32"/>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2"/>
      <c r="G738" s="32"/>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2"/>
      <c r="G739" s="32"/>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2"/>
      <c r="G740" s="32"/>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2"/>
      <c r="G741" s="32"/>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2"/>
      <c r="G742" s="32"/>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2"/>
      <c r="G743" s="32"/>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2"/>
      <c r="G744" s="32"/>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2"/>
      <c r="G745" s="32"/>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2"/>
      <c r="G746" s="32"/>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2"/>
      <c r="G747" s="32"/>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2"/>
      <c r="G748" s="32"/>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2"/>
      <c r="G749" s="32"/>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2"/>
      <c r="G750" s="32"/>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2"/>
      <c r="G751" s="32"/>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2"/>
      <c r="G752" s="32"/>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2"/>
      <c r="G753" s="32"/>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2"/>
      <c r="G754" s="32"/>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2"/>
      <c r="G755" s="32"/>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2"/>
      <c r="G756" s="32"/>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2"/>
      <c r="G757" s="32"/>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2"/>
      <c r="G758" s="32"/>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2"/>
      <c r="G759" s="32"/>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2"/>
      <c r="G760" s="32"/>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2"/>
      <c r="G761" s="32"/>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2"/>
      <c r="G762" s="32"/>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2"/>
      <c r="G763" s="32"/>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2"/>
      <c r="G764" s="32"/>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2"/>
      <c r="G765" s="32"/>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2"/>
      <c r="G766" s="32"/>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2"/>
      <c r="G767" s="32"/>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2"/>
      <c r="G768" s="32"/>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2"/>
      <c r="G769" s="32"/>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2"/>
      <c r="G770" s="32"/>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2"/>
      <c r="G771" s="32"/>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2"/>
      <c r="G772" s="32"/>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2"/>
      <c r="G773" s="32"/>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2"/>
      <c r="G774" s="32"/>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2"/>
      <c r="G775" s="32"/>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2"/>
      <c r="G776" s="32"/>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2"/>
      <c r="G777" s="32"/>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2"/>
      <c r="G778" s="32"/>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2"/>
      <c r="G779" s="32"/>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2"/>
      <c r="G780" s="32"/>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2"/>
      <c r="G781" s="32"/>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2"/>
      <c r="G782" s="32"/>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2"/>
      <c r="G783" s="32"/>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2"/>
      <c r="G784" s="32"/>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2"/>
      <c r="G785" s="32"/>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2"/>
      <c r="G786" s="32"/>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2"/>
      <c r="G787" s="32"/>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2"/>
      <c r="G788" s="32"/>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2"/>
      <c r="G789" s="32"/>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2"/>
      <c r="G790" s="32"/>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2"/>
      <c r="G791" s="32"/>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2"/>
      <c r="G792" s="32"/>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2"/>
      <c r="G793" s="32"/>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2"/>
      <c r="G794" s="32"/>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2"/>
      <c r="G795" s="32"/>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2"/>
      <c r="G796" s="32"/>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2"/>
      <c r="G797" s="32"/>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2"/>
      <c r="G798" s="32"/>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2"/>
      <c r="G799" s="32"/>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2"/>
      <c r="G800" s="32"/>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2"/>
      <c r="G801" s="32"/>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2"/>
      <c r="G802" s="32"/>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2"/>
      <c r="G803" s="32"/>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2"/>
      <c r="G804" s="32"/>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2"/>
      <c r="G805" s="32"/>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2"/>
      <c r="G806" s="32"/>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2"/>
      <c r="G807" s="32"/>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2"/>
      <c r="G808" s="32"/>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2"/>
      <c r="G809" s="32"/>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2"/>
      <c r="G810" s="32"/>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2"/>
      <c r="G811" s="32"/>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2"/>
      <c r="G812" s="32"/>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2"/>
      <c r="G813" s="32"/>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2"/>
      <c r="G814" s="32"/>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2"/>
      <c r="G815" s="32"/>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2"/>
      <c r="G816" s="32"/>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2"/>
      <c r="G817" s="32"/>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2"/>
      <c r="G818" s="32"/>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2"/>
      <c r="G819" s="32"/>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2"/>
      <c r="G820" s="32"/>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2"/>
      <c r="G821" s="32"/>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2"/>
      <c r="G822" s="32"/>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2"/>
      <c r="G823" s="32"/>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2"/>
      <c r="G824" s="32"/>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2"/>
      <c r="G825" s="32"/>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2"/>
      <c r="G826" s="32"/>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2"/>
      <c r="G827" s="32"/>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2"/>
      <c r="G828" s="32"/>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2"/>
      <c r="G829" s="32"/>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2"/>
      <c r="G830" s="32"/>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2"/>
      <c r="G831" s="32"/>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2"/>
      <c r="G832" s="32"/>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2"/>
      <c r="G833" s="32"/>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2"/>
      <c r="G834" s="32"/>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2"/>
      <c r="G835" s="32"/>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2"/>
      <c r="G836" s="32"/>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2"/>
      <c r="G837" s="32"/>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2"/>
      <c r="G838" s="32"/>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2"/>
      <c r="G839" s="32"/>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2"/>
      <c r="G840" s="32"/>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2"/>
      <c r="G841" s="32"/>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2"/>
      <c r="G842" s="32"/>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2"/>
      <c r="G843" s="32"/>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2"/>
      <c r="G844" s="32"/>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2"/>
      <c r="G845" s="32"/>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2"/>
      <c r="G846" s="32"/>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2"/>
      <c r="G847" s="32"/>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2"/>
      <c r="G848" s="32"/>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2"/>
      <c r="G849" s="32"/>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2"/>
      <c r="G850" s="32"/>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2"/>
      <c r="G851" s="32"/>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2"/>
      <c r="G852" s="32"/>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2"/>
      <c r="G853" s="32"/>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2"/>
      <c r="G854" s="32"/>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2"/>
      <c r="G855" s="32"/>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2"/>
      <c r="G856" s="32"/>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2"/>
      <c r="G857" s="32"/>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2"/>
      <c r="G858" s="32"/>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2"/>
      <c r="G859" s="32"/>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2"/>
      <c r="G860" s="32"/>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2"/>
      <c r="G861" s="32"/>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2"/>
      <c r="G862" s="32"/>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2"/>
      <c r="G863" s="32"/>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2"/>
      <c r="G864" s="32"/>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2"/>
      <c r="G865" s="32"/>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2"/>
      <c r="G866" s="32"/>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2"/>
      <c r="G867" s="32"/>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2"/>
      <c r="G868" s="32"/>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2"/>
      <c r="G869" s="32"/>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2"/>
      <c r="G870" s="32"/>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2"/>
      <c r="G871" s="32"/>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2"/>
      <c r="G872" s="32"/>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2"/>
      <c r="G873" s="32"/>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2"/>
      <c r="G874" s="32"/>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2"/>
      <c r="G875" s="32"/>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2"/>
      <c r="G876" s="32"/>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2"/>
      <c r="G877" s="32"/>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2"/>
      <c r="G878" s="32"/>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2"/>
      <c r="G879" s="32"/>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2"/>
      <c r="G880" s="32"/>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2"/>
      <c r="G881" s="32"/>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2"/>
      <c r="G882" s="32"/>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2"/>
      <c r="G883" s="32"/>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2"/>
      <c r="G884" s="32"/>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2"/>
      <c r="G885" s="32"/>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2"/>
      <c r="G886" s="32"/>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2"/>
      <c r="G887" s="32"/>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2"/>
      <c r="G888" s="32"/>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2"/>
      <c r="G889" s="32"/>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2"/>
      <c r="G890" s="32"/>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2"/>
      <c r="G891" s="32"/>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2"/>
      <c r="G892" s="32"/>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2"/>
      <c r="G893" s="32"/>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2"/>
      <c r="G894" s="32"/>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2"/>
      <c r="G895" s="32"/>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2"/>
      <c r="G896" s="32"/>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2"/>
      <c r="G897" s="32"/>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2"/>
      <c r="G898" s="32"/>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2"/>
      <c r="G899" s="32"/>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2"/>
      <c r="G900" s="32"/>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2"/>
      <c r="G901" s="32"/>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2"/>
      <c r="G902" s="32"/>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2"/>
      <c r="G903" s="32"/>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2"/>
      <c r="G904" s="32"/>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2"/>
      <c r="G905" s="32"/>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2"/>
      <c r="G906" s="32"/>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2"/>
      <c r="G907" s="32"/>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2"/>
      <c r="G908" s="32"/>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2"/>
      <c r="G909" s="32"/>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2"/>
      <c r="G910" s="32"/>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2"/>
      <c r="G911" s="32"/>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2"/>
      <c r="G912" s="32"/>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2"/>
      <c r="G913" s="32"/>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2"/>
      <c r="G914" s="32"/>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2"/>
      <c r="G915" s="32"/>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2"/>
      <c r="G916" s="32"/>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2"/>
      <c r="G917" s="32"/>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2"/>
      <c r="G918" s="32"/>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2"/>
      <c r="G919" s="32"/>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2"/>
      <c r="G920" s="32"/>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2"/>
      <c r="G921" s="32"/>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2"/>
      <c r="G922" s="32"/>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2"/>
      <c r="G923" s="32"/>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2"/>
      <c r="G924" s="32"/>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2"/>
      <c r="G925" s="32"/>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2"/>
      <c r="G926" s="32"/>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2"/>
      <c r="G927" s="32"/>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2"/>
      <c r="G928" s="32"/>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2"/>
      <c r="G929" s="32"/>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2"/>
      <c r="G930" s="32"/>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2"/>
      <c r="G931" s="32"/>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2"/>
      <c r="G932" s="32"/>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2"/>
      <c r="G933" s="32"/>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2"/>
      <c r="G934" s="32"/>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2"/>
      <c r="G935" s="32"/>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2"/>
      <c r="G936" s="32"/>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2"/>
      <c r="G937" s="32"/>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2"/>
      <c r="G938" s="32"/>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2"/>
      <c r="G939" s="32"/>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2"/>
      <c r="G940" s="32"/>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2"/>
      <c r="G941" s="32"/>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2"/>
      <c r="G942" s="32"/>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2"/>
      <c r="G943" s="32"/>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2"/>
      <c r="G944" s="32"/>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2"/>
      <c r="G945" s="32"/>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2"/>
      <c r="G946" s="32"/>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2"/>
      <c r="G947" s="32"/>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2"/>
      <c r="G948" s="32"/>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2"/>
      <c r="G949" s="32"/>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2"/>
      <c r="G950" s="32"/>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2"/>
      <c r="G951" s="32"/>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2"/>
      <c r="G952" s="32"/>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2"/>
      <c r="G953" s="32"/>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2"/>
      <c r="G954" s="32"/>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2"/>
      <c r="G955" s="32"/>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2"/>
      <c r="G956" s="32"/>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2"/>
      <c r="G957" s="32"/>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2"/>
      <c r="G958" s="32"/>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2"/>
      <c r="G959" s="32"/>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2"/>
      <c r="G960" s="32"/>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2"/>
      <c r="G961" s="32"/>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2"/>
      <c r="G962" s="32"/>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2"/>
      <c r="G963" s="32"/>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2"/>
      <c r="G964" s="32"/>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2"/>
      <c r="G965" s="32"/>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2"/>
      <c r="G966" s="32"/>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2"/>
      <c r="G967" s="32"/>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2"/>
      <c r="G968" s="32"/>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2"/>
      <c r="G969" s="32"/>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2"/>
      <c r="G970" s="32"/>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2"/>
      <c r="G971" s="32"/>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2"/>
      <c r="G972" s="32"/>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2"/>
      <c r="G973" s="32"/>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2"/>
      <c r="G974" s="32"/>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2"/>
      <c r="G975" s="32"/>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2"/>
      <c r="G976" s="32"/>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2"/>
      <c r="G977" s="32"/>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2"/>
      <c r="G978" s="32"/>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2"/>
      <c r="G979" s="32"/>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2"/>
      <c r="G980" s="32"/>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2"/>
      <c r="G981" s="32"/>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2"/>
      <c r="G982" s="32"/>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2"/>
      <c r="G983" s="32"/>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2"/>
      <c r="G984" s="32"/>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2"/>
      <c r="G985" s="32"/>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2"/>
      <c r="G986" s="32"/>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2"/>
      <c r="G987" s="32"/>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2"/>
      <c r="G988" s="32"/>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2"/>
      <c r="G989" s="32"/>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2"/>
      <c r="G990" s="32"/>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2"/>
      <c r="G991" s="32"/>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2"/>
      <c r="G992" s="32"/>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2"/>
      <c r="G993" s="32"/>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2"/>
      <c r="G994" s="32"/>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2"/>
      <c r="G995" s="32"/>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2"/>
      <c r="G996" s="32"/>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2"/>
      <c r="G997" s="32"/>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2"/>
      <c r="G998" s="32"/>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2"/>
      <c r="G999" s="32"/>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2"/>
      <c r="G1000" s="32"/>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2"/>
      <c r="G1001" s="32"/>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2"/>
      <c r="G1002" s="32"/>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2"/>
      <c r="G1003" s="32"/>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2"/>
      <c r="G1004" s="32"/>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2"/>
      <c r="G1005" s="32"/>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2"/>
      <c r="G1006" s="32"/>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2"/>
      <c r="G1007" s="32"/>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2"/>
      <c r="G1008" s="32"/>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2"/>
      <c r="G1009" s="32"/>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2"/>
      <c r="G1010" s="32"/>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2"/>
      <c r="G1011" s="32"/>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2"/>
      <c r="G1012" s="32"/>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2"/>
      <c r="G1013" s="32"/>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2"/>
      <c r="G1014" s="32"/>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2"/>
      <c r="G1015" s="32"/>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2"/>
      <c r="G1016" s="32"/>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2"/>
      <c r="G1017" s="32"/>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2"/>
      <c r="G1018" s="32"/>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2"/>
      <c r="G1019" s="32"/>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2"/>
      <c r="G1020" s="32"/>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2"/>
      <c r="G1021" s="32"/>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2"/>
      <c r="G1022" s="32"/>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2"/>
      <c r="G1023" s="32"/>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2"/>
      <c r="G1024" s="32"/>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2"/>
      <c r="G1025" s="32"/>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2"/>
      <c r="G1026" s="32"/>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2"/>
      <c r="G1027" s="32"/>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2"/>
      <c r="G1028" s="32"/>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2"/>
      <c r="G1029" s="32"/>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2"/>
      <c r="G1030" s="32"/>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2"/>
      <c r="G1031" s="32"/>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2"/>
      <c r="G1032" s="32"/>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2"/>
      <c r="G1033" s="32"/>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2"/>
      <c r="G1034" s="32"/>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2"/>
      <c r="G1035" s="32"/>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2"/>
      <c r="G1036" s="32"/>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2"/>
      <c r="G1037" s="32"/>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2"/>
      <c r="G1038" s="32"/>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2"/>
      <c r="G1039" s="32"/>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2"/>
      <c r="G1040" s="32"/>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2"/>
      <c r="G1041" s="32"/>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2"/>
      <c r="G1042" s="32"/>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2"/>
      <c r="G1043" s="32"/>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2"/>
      <c r="G1044" s="32"/>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2"/>
      <c r="G1045" s="32"/>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2"/>
      <c r="G1046" s="32"/>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2"/>
      <c r="G1047" s="32"/>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2"/>
      <c r="G1048" s="32"/>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2"/>
      <c r="G1049" s="32"/>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2"/>
      <c r="G1050" s="32"/>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2"/>
      <c r="G1051" s="32"/>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2"/>
      <c r="G1052" s="32"/>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2"/>
      <c r="G1053" s="32"/>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2"/>
      <c r="G1054" s="32"/>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2"/>
      <c r="G1055" s="32"/>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2"/>
      <c r="G1056" s="32"/>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2"/>
      <c r="G1057" s="32"/>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2"/>
      <c r="G1058" s="32"/>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2"/>
      <c r="G1059" s="32"/>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2"/>
      <c r="G1060" s="32"/>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2"/>
      <c r="G1061" s="32"/>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2"/>
      <c r="G1062" s="32"/>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2"/>
      <c r="G1063" s="32"/>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2"/>
      <c r="G1064" s="32"/>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2"/>
      <c r="G1065" s="32"/>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2"/>
      <c r="G1066" s="32"/>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2"/>
      <c r="G1067" s="32"/>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2"/>
      <c r="G1068" s="32"/>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2"/>
      <c r="G1069" s="32"/>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2"/>
      <c r="G1070" s="32"/>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2"/>
      <c r="G1071" s="32"/>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2"/>
      <c r="G1072" s="32"/>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2"/>
      <c r="G1073" s="32"/>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2"/>
      <c r="G1074" s="32"/>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2"/>
      <c r="G1075" s="32"/>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2"/>
      <c r="G1076" s="32"/>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2"/>
      <c r="G1077" s="32"/>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2"/>
      <c r="G1078" s="32"/>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2"/>
      <c r="G1079" s="32"/>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2"/>
      <c r="G1080" s="32"/>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2"/>
      <c r="G1081" s="32"/>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2"/>
      <c r="G1082" s="32"/>
      <c r="H1082" s="1"/>
      <c r="I1082" s="1"/>
      <c r="J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2"/>
      <c r="G1083" s="32"/>
      <c r="H1083" s="1"/>
      <c r="I1083" s="1"/>
      <c r="J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2"/>
      <c r="G1084" s="32"/>
      <c r="H1084" s="1"/>
      <c r="I1084" s="1"/>
      <c r="J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2"/>
      <c r="G1085" s="32"/>
      <c r="H1085" s="1"/>
      <c r="I1085" s="1"/>
      <c r="J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2"/>
      <c r="G1086" s="32"/>
      <c r="H1086" s="1"/>
      <c r="I1086" s="1"/>
      <c r="J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2"/>
      <c r="G1087" s="32"/>
      <c r="H1087" s="1"/>
      <c r="I1087" s="1"/>
      <c r="J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2"/>
      <c r="G1088" s="32"/>
      <c r="H1088" s="1"/>
      <c r="I1088" s="1"/>
      <c r="J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2"/>
      <c r="G1089" s="32"/>
      <c r="H1089" s="1"/>
      <c r="I1089" s="1"/>
      <c r="J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sheetData>
  <sortState xmlns:xlrd2="http://schemas.microsoft.com/office/spreadsheetml/2017/richdata2" ref="A18:JV27">
    <sortCondition ref="F18:F27"/>
  </sortState>
  <phoneticPr fontId="3" type="noConversion"/>
  <conditionalFormatting sqref="D8:D43">
    <cfRule type="containsText" dxfId="3" priority="17" operator="containsText" text="On Hold">
      <formula>NOT(ISERROR(SEARCH("On Hold",D8)))</formula>
    </cfRule>
    <cfRule type="containsText" dxfId="2" priority="18" operator="containsText" text="Complete">
      <formula>NOT(ISERROR(SEARCH("Complete",D8)))</formula>
    </cfRule>
    <cfRule type="containsText" dxfId="1" priority="19" operator="containsText" text="In Progress">
      <formula>NOT(ISERROR(SEARCH("In Progress",D8)))</formula>
    </cfRule>
    <cfRule type="containsText" dxfId="0" priority="20" operator="containsText" text="Not Started">
      <formula>NOT(ISERROR(SEARCH("Not Started",D8)))</formula>
    </cfRule>
  </conditionalFormatting>
  <dataValidations count="1">
    <dataValidation type="list" allowBlank="1" showInputMessage="1" showErrorMessage="1" sqref="D42:D43 D8:D41" xr:uid="{FAB73A35-6353-0041-8874-8B5EFE2E105A}">
      <formula1>#REF!</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16</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Tsunamis</vt:lpstr>
      <vt:lpstr>-Disclaimer-</vt:lpstr>
      <vt:lpstr>Tsunamis!Print_Area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2025-12-06T00:30:19Z</dcterms:modified>
</cp:coreProperties>
</file>